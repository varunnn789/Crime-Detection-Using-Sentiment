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singh\Downloads\EAS508 Project\Results\"/>
    </mc:Choice>
  </mc:AlternateContent>
  <xr:revisionPtr revIDLastSave="0" documentId="13_ncr:1_{90AF6982-3D1E-4545-AFD3-88C445EFA766}" xr6:coauthVersionLast="47" xr6:coauthVersionMax="47" xr10:uidLastSave="{00000000-0000-0000-0000-000000000000}"/>
  <bookViews>
    <workbookView xWindow="-103" yWindow="-103" windowWidth="24892" windowHeight="14914" xr2:uid="{00000000-000D-0000-FFFF-FFFF00000000}"/>
  </bookViews>
  <sheets>
    <sheet name="Sheet1" sheetId="1" r:id="rId1"/>
  </sheets>
  <definedNames>
    <definedName name="_xlnm._FilterDatabase" localSheetId="0" hidden="1">Sheet1!$A$6:$J$506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8" i="1" l="1"/>
  <c r="J203" i="1"/>
  <c r="J77" i="1"/>
  <c r="J40" i="1"/>
  <c r="J467" i="1"/>
  <c r="J466" i="1"/>
  <c r="J434" i="1"/>
  <c r="J430" i="1"/>
  <c r="J428" i="1"/>
  <c r="J418" i="1"/>
  <c r="J415" i="1"/>
  <c r="J392" i="1"/>
  <c r="J292" i="1"/>
  <c r="J248" i="1"/>
  <c r="J221" i="1"/>
  <c r="J188" i="1"/>
  <c r="J92" i="1"/>
  <c r="J72" i="1"/>
  <c r="J71" i="1"/>
  <c r="J68" i="1"/>
  <c r="J39" i="1"/>
  <c r="J495" i="1"/>
  <c r="J494" i="1"/>
  <c r="J493" i="1"/>
  <c r="J490" i="1"/>
  <c r="J482" i="1"/>
  <c r="J479" i="1"/>
  <c r="J478" i="1"/>
  <c r="J473" i="1"/>
  <c r="J472" i="1"/>
  <c r="J470" i="1"/>
  <c r="J273" i="1"/>
  <c r="J269" i="1"/>
  <c r="J268" i="1"/>
  <c r="J267" i="1"/>
  <c r="J265" i="1"/>
  <c r="J260" i="1"/>
  <c r="J259" i="1"/>
  <c r="J255" i="1"/>
  <c r="J253" i="1"/>
  <c r="J252" i="1"/>
  <c r="J250" i="1"/>
  <c r="J247" i="1"/>
  <c r="J236" i="1"/>
  <c r="J232" i="1"/>
  <c r="J216" i="1"/>
  <c r="J213" i="1"/>
  <c r="J206" i="1"/>
  <c r="J91" i="1"/>
  <c r="J59" i="1"/>
  <c r="J52" i="1"/>
  <c r="J47" i="1"/>
  <c r="J42" i="1"/>
  <c r="J25" i="1"/>
  <c r="J20" i="1"/>
  <c r="J506" i="1"/>
  <c r="J505" i="1"/>
  <c r="J504" i="1"/>
  <c r="J503" i="1"/>
  <c r="J502" i="1"/>
  <c r="J501" i="1"/>
  <c r="J500" i="1"/>
  <c r="J499" i="1"/>
  <c r="J498" i="1"/>
  <c r="J497" i="1"/>
  <c r="J496" i="1"/>
  <c r="J492" i="1"/>
  <c r="J491" i="1"/>
  <c r="J489" i="1"/>
  <c r="J488" i="1"/>
  <c r="J487" i="1"/>
  <c r="J486" i="1"/>
  <c r="J485" i="1"/>
  <c r="J484" i="1"/>
  <c r="J483" i="1"/>
  <c r="J481" i="1"/>
  <c r="J480" i="1"/>
  <c r="J477" i="1"/>
  <c r="J476" i="1"/>
  <c r="J475" i="1"/>
  <c r="J474" i="1"/>
  <c r="J471" i="1"/>
  <c r="J469" i="1"/>
  <c r="J468"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300" i="1"/>
  <c r="J299" i="1"/>
  <c r="J298" i="1"/>
  <c r="J297" i="1"/>
  <c r="J296" i="1"/>
  <c r="J295" i="1"/>
  <c r="J294" i="1"/>
  <c r="J293" i="1"/>
  <c r="J291" i="1"/>
  <c r="J290" i="1"/>
  <c r="J289" i="1"/>
  <c r="J288" i="1"/>
  <c r="J287" i="1"/>
  <c r="J286" i="1"/>
  <c r="J285" i="1"/>
  <c r="J284" i="1"/>
  <c r="J283" i="1"/>
  <c r="J282" i="1"/>
  <c r="J281" i="1"/>
  <c r="J280" i="1"/>
  <c r="J279" i="1"/>
  <c r="J278" i="1"/>
  <c r="J277" i="1"/>
  <c r="J276" i="1"/>
  <c r="J275" i="1"/>
  <c r="J274" i="1"/>
  <c r="J272" i="1"/>
  <c r="J271" i="1"/>
  <c r="J270" i="1"/>
  <c r="J266" i="1"/>
  <c r="J264" i="1"/>
  <c r="J263" i="1"/>
  <c r="J262" i="1"/>
  <c r="J261" i="1"/>
  <c r="J258" i="1"/>
  <c r="J257" i="1"/>
  <c r="J256" i="1"/>
  <c r="J254" i="1"/>
  <c r="J251" i="1"/>
  <c r="J249" i="1"/>
  <c r="J246" i="1"/>
  <c r="J245" i="1"/>
  <c r="J244" i="1"/>
  <c r="J102" i="1"/>
  <c r="J101" i="1"/>
  <c r="J100" i="1"/>
  <c r="J99" i="1"/>
  <c r="J98" i="1"/>
  <c r="J97" i="1"/>
  <c r="J96" i="1"/>
  <c r="J95" i="1"/>
  <c r="J94" i="1"/>
  <c r="J93" i="1"/>
  <c r="J90" i="1"/>
  <c r="J89" i="1"/>
  <c r="J88" i="1"/>
  <c r="J87" i="1"/>
  <c r="J86" i="1"/>
  <c r="J85" i="1"/>
  <c r="J84" i="1"/>
  <c r="J83" i="1"/>
  <c r="J82" i="1"/>
  <c r="J81" i="1"/>
  <c r="J80" i="1"/>
  <c r="J79" i="1"/>
  <c r="J78" i="1"/>
  <c r="J76" i="1"/>
  <c r="J75" i="1"/>
  <c r="J243" i="1"/>
  <c r="J242" i="1"/>
  <c r="J241" i="1"/>
  <c r="J240" i="1"/>
  <c r="J239" i="1"/>
  <c r="J237" i="1"/>
  <c r="J235" i="1"/>
  <c r="J234" i="1"/>
  <c r="J233" i="1"/>
  <c r="J231" i="1"/>
  <c r="J230" i="1"/>
  <c r="J229" i="1"/>
  <c r="J228" i="1"/>
  <c r="J227" i="1"/>
  <c r="J226" i="1"/>
  <c r="J225" i="1"/>
  <c r="J224" i="1"/>
  <c r="J223" i="1"/>
  <c r="J222" i="1"/>
  <c r="J220" i="1"/>
  <c r="J219" i="1"/>
  <c r="J218" i="1"/>
  <c r="J217" i="1"/>
  <c r="J215" i="1"/>
  <c r="J214" i="1"/>
  <c r="J212" i="1"/>
  <c r="J211" i="1"/>
  <c r="J210" i="1"/>
  <c r="J209" i="1"/>
  <c r="J208" i="1"/>
  <c r="J207" i="1"/>
  <c r="J205" i="1"/>
  <c r="J204" i="1"/>
  <c r="J202" i="1"/>
  <c r="J201" i="1"/>
  <c r="J200" i="1"/>
  <c r="J199" i="1"/>
  <c r="J198" i="1"/>
  <c r="J197" i="1"/>
  <c r="J196" i="1"/>
  <c r="J195" i="1"/>
  <c r="J194" i="1"/>
  <c r="J193" i="1"/>
  <c r="J192" i="1"/>
  <c r="J191" i="1"/>
  <c r="J190" i="1"/>
  <c r="J189" i="1"/>
  <c r="J187" i="1"/>
  <c r="J186" i="1"/>
  <c r="J185" i="1"/>
  <c r="J74" i="1"/>
  <c r="J73" i="1"/>
  <c r="J70" i="1"/>
  <c r="J69" i="1"/>
  <c r="J67" i="1"/>
  <c r="J66" i="1"/>
  <c r="J65" i="1"/>
  <c r="J64" i="1"/>
  <c r="J63" i="1"/>
  <c r="J62" i="1"/>
  <c r="J61" i="1"/>
  <c r="J60" i="1"/>
  <c r="J58" i="1"/>
  <c r="J57" i="1"/>
  <c r="J56" i="1"/>
  <c r="J55" i="1"/>
  <c r="J54" i="1"/>
  <c r="J53" i="1"/>
  <c r="J437" i="1"/>
  <c r="J436" i="1"/>
  <c r="J435" i="1"/>
  <c r="J433" i="1"/>
  <c r="J432" i="1"/>
  <c r="J431" i="1"/>
  <c r="J429" i="1"/>
  <c r="J427" i="1"/>
  <c r="J426" i="1"/>
  <c r="J425" i="1"/>
  <c r="J424" i="1"/>
  <c r="J423" i="1"/>
  <c r="J422" i="1"/>
  <c r="J421" i="1"/>
  <c r="J420" i="1"/>
  <c r="J419" i="1"/>
  <c r="J417" i="1"/>
  <c r="J416" i="1"/>
  <c r="J414" i="1"/>
  <c r="J413" i="1"/>
  <c r="J412" i="1"/>
  <c r="J411" i="1"/>
  <c r="J410" i="1"/>
  <c r="J409" i="1"/>
  <c r="J408" i="1"/>
  <c r="J407" i="1"/>
  <c r="J406" i="1"/>
  <c r="J405" i="1"/>
  <c r="J404" i="1"/>
  <c r="J403" i="1"/>
  <c r="J402" i="1"/>
  <c r="J401" i="1"/>
  <c r="J400" i="1"/>
  <c r="J399" i="1"/>
  <c r="J398" i="1"/>
  <c r="J397" i="1"/>
  <c r="J396" i="1"/>
  <c r="J395" i="1"/>
  <c r="J394" i="1"/>
  <c r="J393"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184" i="1"/>
  <c r="J183" i="1"/>
  <c r="J182" i="1"/>
  <c r="J181" i="1"/>
  <c r="J180" i="1"/>
  <c r="J179" i="1"/>
  <c r="J178" i="1"/>
  <c r="J177" i="1"/>
  <c r="J176" i="1"/>
  <c r="J175" i="1"/>
  <c r="J174" i="1"/>
  <c r="J173" i="1"/>
  <c r="J172" i="1"/>
  <c r="J171" i="1"/>
  <c r="J51" i="1"/>
  <c r="J50" i="1"/>
  <c r="J49" i="1"/>
  <c r="J48" i="1"/>
  <c r="J46" i="1"/>
  <c r="J45" i="1"/>
  <c r="J44" i="1"/>
  <c r="J43" i="1"/>
  <c r="J41" i="1"/>
  <c r="J38" i="1"/>
  <c r="J37" i="1"/>
  <c r="J36" i="1"/>
  <c r="J35"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4" i="1"/>
  <c r="J33" i="1"/>
  <c r="J32" i="1"/>
  <c r="J31" i="1"/>
  <c r="J30" i="1"/>
  <c r="J29" i="1"/>
  <c r="J28" i="1"/>
  <c r="J27" i="1"/>
  <c r="J26" i="1"/>
  <c r="J24" i="1"/>
  <c r="J23" i="1"/>
  <c r="J22" i="1"/>
  <c r="J21" i="1"/>
  <c r="J19" i="1"/>
  <c r="J18" i="1"/>
  <c r="J17" i="1"/>
  <c r="J16" i="1"/>
  <c r="J15" i="1"/>
  <c r="J14" i="1"/>
  <c r="J13" i="1"/>
  <c r="J12" i="1"/>
  <c r="J11" i="1"/>
  <c r="J10" i="1"/>
  <c r="J9" i="1"/>
  <c r="J8" i="1"/>
  <c r="J7"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M8" i="1" l="1"/>
</calcChain>
</file>

<file path=xl/sharedStrings.xml><?xml version="1.0" encoding="utf-8"?>
<sst xmlns="http://schemas.openxmlformats.org/spreadsheetml/2006/main" count="3215" uniqueCount="1076">
  <si>
    <t>Location</t>
  </si>
  <si>
    <t>body</t>
  </si>
  <si>
    <t>crime_type</t>
  </si>
  <si>
    <t>cleaned_content</t>
  </si>
  <si>
    <t>sentiment</t>
  </si>
  <si>
    <t>adjusted_polarity</t>
  </si>
  <si>
    <t>criminal_intensity</t>
  </si>
  <si>
    <t>rating</t>
  </si>
  <si>
    <t>Illinois</t>
  </si>
  <si>
    <t>Have you seen the crime rates in Chicago? If you're looking for your little Anarchist utopia, Chicago is the closest you're going to come to it.</t>
  </si>
  <si>
    <t xml:space="preserve">Meh, I live right next to Gary, IN.  You know MURDER CAPITAL of the U.S. many times over. </t>
  </si>
  <si>
    <t>The gang activity in Uptown and Rogers Park is a lot more visible than in other parts of the North Side.  Agreed that it's nothing compared to the South and West Sides, but for folks who don't spend a lot of time outside of Lincoln Park &amp; Lakeview, it makes the area seem a lot worse than it really is.  The junkies along Broadway over by Truman College don't help Uptown's reputation much either, but I've never had any problems over there.</t>
  </si>
  <si>
    <t>Everything gets stolen near the United Center</t>
  </si>
  <si>
    <t>If my bike wasn't stolen it'd help.</t>
  </si>
  <si>
    <t xml:space="preserve">Agreed. I've been robbed, car broken into in the middle of the day plenty of times. Yeah more elaborate stuff might happen at night (gang shit, robbed after pulling out a window AC), but plenty of stuff happens during the day. </t>
  </si>
  <si>
    <t>I tried to kick one down when I had my backpack stolen.  Didn't work.</t>
  </si>
  <si>
    <t>Wow, sounds like a lot of people have been robbed or jumped in that specific area. How about stepping up the police patrols? A little more police presence would go a long way.</t>
  </si>
  <si>
    <t xml:space="preserve">I know a girl who was robbed in broad daylight at the corner of Clark and Armitage. </t>
  </si>
  <si>
    <t>Sorry to hear this, I know a couple of people who have been robbed over by Division and Wolcott.   Be careful people.</t>
  </si>
  <si>
    <t>I live in Wicker Park/Bucktown and lately its been crazy around here with crime.
I would suggest Lincoln Square or Roscoe Village.  Both are great family neighborhoods, safe, are still close to the loop, and both have a "downtown" area with entertainment, bars, and restaurants.  Check em' out....</t>
  </si>
  <si>
    <t>I recommend Andersonville. It has a bunch of great restaurants, close to the red line train, and is quite safe. A few years ago I would have said Wrigleyville but crime has really picked up since the economy tanked.</t>
  </si>
  <si>
    <t>I think we should stop comparing weather, and start comparing criminals. We both have such outlandish crime stories :D</t>
  </si>
  <si>
    <t>Have you been on any of those streets near the UC?? Good luck getting back to you car without being robbed.</t>
  </si>
  <si>
    <t>Chicago has far more crime per capita than kankakee, how about you move there?</t>
  </si>
  <si>
    <t>Good advice. Theft is probably the most common crime around Lakeview, not much else in the way of crime.</t>
  </si>
  <si>
    <t>Thanks! I've been looking to buy another bike since my last one was stolen last fall. I'll check this place out.</t>
  </si>
  <si>
    <t>I know two people that had this happen to them.  And I got my phone stolen out of my hands on the Green Line around 2 PM this summer.</t>
  </si>
  <si>
    <t>I've lived in the neighborhood for four years and have had zero issues with crime. I feel safer here than in any neighborhood along the red line.</t>
  </si>
  <si>
    <t>Totally. I really hope you're right. I mean, despite the slight demographic shift over there in the past couple of years, it's still pretty far from a "bad neighborhood."</t>
  </si>
  <si>
    <t>I forgot to mention, some guy got jumped by a guy with a shoe shine kit and robbed on our way out.</t>
  </si>
  <si>
    <t xml:space="preserve">The other guys initiated, and they wouldn't have if they didn't have the advantage.
Typical strong-arm robbery.
Sorry you lost your loot, but at least you didn't suffer a lot of damage in the process.
</t>
  </si>
  <si>
    <t>Yea, my biggest fear, even in Wicker Park.  There has been a string of burglaries up here as well.  Hard to really deter something like, but does have bars on some of the more accessible windows at this new place.</t>
  </si>
  <si>
    <t>loads of muggings / robberies</t>
  </si>
  <si>
    <t>I forgot Chicago is the only major city with crime and debt</t>
  </si>
  <si>
    <t>No tools. My tools were stolen along with my last bike.</t>
  </si>
  <si>
    <t>If you're premise is correct can you explain why nyc has a lower crime rate than Chicago?</t>
  </si>
  <si>
    <t xml:space="preserve">Now everyone brace for the crime spike...
</t>
  </si>
  <si>
    <t xml:space="preserve">Friend was robbed at knife point on the pink line at 18th. </t>
  </si>
  <si>
    <t xml:space="preserve">I've had my phone stolen out of my hand while riding the subway. I wasn't paying attention, I've lived here two years. I've encountered scary people once or twice other than that, but no physical harm. This city is every bit worth it. </t>
  </si>
  <si>
    <t>Some might, some might not, hard to say; poverty and crime seem to go together, though.  Unless they're stealing real money, then they're probably working for a hedge fund.</t>
  </si>
  <si>
    <t>It was also a murder attempt.</t>
  </si>
  <si>
    <t>You fuckin know it's been stolen, man...</t>
  </si>
  <si>
    <t>They do move.....away from the crime.</t>
  </si>
  <si>
    <t>This was last year; it was subsequently stolen 2 months later.</t>
  </si>
  <si>
    <t xml:space="preserve">I'm always getting emails from my school about people being robbed at that station. </t>
  </si>
  <si>
    <t>I plan to get robbed on my bike here sometime soon -</t>
  </si>
  <si>
    <t>Mine are stolen.</t>
  </si>
  <si>
    <t>Empty wallet + gun = imma get robbed.</t>
  </si>
  <si>
    <t xml:space="preserve">I'm shocked people are ready to murder for a $300 phone. </t>
  </si>
  <si>
    <t xml:space="preserve">You wanna get mugged in englewood?  They don't snatch and run, they hit and run. </t>
  </si>
  <si>
    <t xml:space="preserve">Club. I got one after one of my cars was stolen. </t>
  </si>
  <si>
    <t>actually, my alcoholic roommate was the one who had her over. she robbed me while i was asleep in my room.  thanks, man.</t>
  </si>
  <si>
    <t>And yet, a LOT of crime. Go figure.</t>
  </si>
  <si>
    <t>That's the peak murder hour.</t>
  </si>
  <si>
    <t>In the city with the highest murder? Yes it's bad.</t>
  </si>
  <si>
    <t>Your iPhone would get stolen before it got to Ashland...</t>
  </si>
  <si>
    <t xml:space="preserve">I had a bike stolen a few years ago. Any effort to do anything is pointless. If you buy another bike, it will probably be stolen at some point too. So that's why I drive a car now! </t>
  </si>
  <si>
    <t xml:space="preserve">Bike thieves are some low sons of bitches. I had my bike stolen in college after having it at school for all of a month, haven't bought a new one since. </t>
  </si>
  <si>
    <t>The murder rate is much higher this year.</t>
  </si>
  <si>
    <t>Evol got robbed btw.</t>
  </si>
  <si>
    <t>This is why the murder rate is so high.</t>
  </si>
  <si>
    <t>well at least it's close to bike-thef-friendliest; I've already had two bikes stolen in the past 2 years</t>
  </si>
  <si>
    <t>Word. I had my iphone 3 (cracked nonetheless) stolen out of my purse while exiting the brown line back in December '11. Be careful with your things, everyone. Apple pickers are around...</t>
  </si>
  <si>
    <t>Yes, the area around the Diversey stop has less crime.</t>
  </si>
  <si>
    <t>My stolen car turned up in Cicero.</t>
  </si>
  <si>
    <t xml:space="preserve">New Orleans, Detroit, and many other american cities have higher murder rates, New Orleans being 2 - 2.5 times worse than ours. 
This is bullshit on its face. Stop spouting lies. </t>
  </si>
  <si>
    <t>Double stabbing, followed by an arson in an attempt to cover up the crime. Definitely not something you see every day in that neighborhood.</t>
  </si>
  <si>
    <t>My friend had her bike stolen from there a couple weeks ago.  I would not leave it there...</t>
  </si>
  <si>
    <t>Public safety is there sometimes. Certainly not always, and rarely at night.</t>
  </si>
  <si>
    <t>Are we the Murder Capitol yet?</t>
  </si>
  <si>
    <t xml:space="preserve">One of my friends was also robbed at gunpoint last night while coming home from Jewel, four blocks from his apt. I don't have any of the nitty gritty details, but I am wondering if it might have been the same people, on a spree. </t>
  </si>
  <si>
    <t xml:space="preserve">Shit, murder gonna go up. </t>
  </si>
  <si>
    <t>Thats part of the problem. The murder rate isnt much higher, but it is higher. And while other large cities have seen their murder rate plummet, chicago has not.  New york for example had over 100 less murders than chicago, but they have over three times the population of chicago. So no its not the far right or gun nuts, but for liberials they are always the easiest to blame.</t>
  </si>
  <si>
    <t>The Chicago crime &amp; obituary section is probably big enough to be it's own paper</t>
  </si>
  <si>
    <t>The murder rate has been cut in half in about 20 years, so yeah. It is close its lowest since the 60s right now.</t>
  </si>
  <si>
    <t>I've felt safe in NYC and Brooklyn my entire life that I've lived there and none of my friends have ever been robbed/mugged.</t>
  </si>
  <si>
    <t xml:space="preserve">It's Chicago, it's probably stolen. </t>
  </si>
  <si>
    <t xml:space="preserve">Crime blotters have hundreds of incidents over the weekend, they are public record. </t>
  </si>
  <si>
    <t>I live right in this area (like really close to there) and my girlfriend got the wheel of her trek bike stolen. If i see the person with your bike, I'll give them a double kick in the dick.</t>
  </si>
  <si>
    <t xml:space="preserve">Agreed on the increased risk for theft. I keep my bag on my lap with one arm through the straps. </t>
  </si>
  <si>
    <t>I have only seen a gun pulled once so far.  It was during a brown line purse robbery at the Sedgwick stop.</t>
  </si>
  <si>
    <t>I wouldn't worry, the vast majority of crime happens in the south and west sides.  There is no real reason to ever go to those parts.</t>
  </si>
  <si>
    <t>You put them away so you don't get sucker punched and get your shit stolen</t>
  </si>
  <si>
    <t>&gt;I was burglarized in Norwood Park which is a VERY low crime area.
You were robbed by someone you know.</t>
  </si>
  <si>
    <t>I dont think places like Andersonville or Edgewater have ever had much of a crime problem</t>
  </si>
  <si>
    <t xml:space="preserve">there's a couple facebook groups. keep an eye on chicago bike society, chicago bike selling, and chicago bike and parts swap.
stolen things end up there all too often and quickly.
</t>
  </si>
  <si>
    <t>My crappy looking old bike was stolen recently but I managed to chase down the two guys who stole it. Got my bike back and didn't get stabbed once!</t>
  </si>
  <si>
    <t>crime has always been happening on the north side</t>
  </si>
  <si>
    <t xml:space="preserve">I feel for the hipsters who are getting their bikes stolen, but I think the cops have a lot on their plates as it is.  </t>
  </si>
  <si>
    <t>The South Side was a murder fest. The city is much better now.</t>
  </si>
  <si>
    <t>It's Chicago.  There either was, is, or going to be a murder.</t>
  </si>
  <si>
    <t>I'm hearing now that the 2nd victim died.
that makes me think this was a murder/suicide. seeing as the scene was secured so quickly, i'd say the shooter was dead on scene.</t>
  </si>
  <si>
    <t>I was working nights in Cicero this spring.  In may, the CC was stolen out of one of my crew's box truck.  It happened within an hour...they had gone to break, then gone back out an hour later and it was gone.</t>
  </si>
  <si>
    <t>Sounds like a hit and run to me</t>
  </si>
  <si>
    <t>I got chased and almost got robbed at that stop a few years ago. Why are some people so shitty?</t>
  </si>
  <si>
    <t>Well they banned murder and that seems to be working.</t>
  </si>
  <si>
    <t>Boyfriend got robbed at montrose and wolcott tonight. Potentially the same guys...?</t>
  </si>
  <si>
    <t>It sucks your stuff was stolen and I feel bad for you. Never leave valuables in a vehicle</t>
  </si>
  <si>
    <t>Car turned out not stolen, and is recovered. Thank for all your help and concern!</t>
  </si>
  <si>
    <t xml:space="preserve">Yup. Crime, shitty politicians, polar vortexes, the Cubs. All cabs. </t>
  </si>
  <si>
    <t>My buddies bike was recently stolen in a very similar scenario in Uptown.  He had it unlocked out of sight on his back porch inside a locked/gated parking lot.  Definitely keep your bike inside!</t>
  </si>
  <si>
    <t>TIL that if you own a bike in Chicago, you have to lock it up like the vault at Ft. Knox or it will be stolen.</t>
  </si>
  <si>
    <t>My bike was stolen last night.. I should have known better.</t>
  </si>
  <si>
    <t xml:space="preserve">Go to Swap-o-rama on Ashland. Lots of stolen bikes end up there. </t>
  </si>
  <si>
    <t>I'm glad to hear that! UChicago seems like a great place to study! Currently, I'm a sociology and anthropology double major (interested in Chicago's crime/deviance and urban ethnography courses :) Ill message you for more questions ! Haha</t>
  </si>
  <si>
    <t xml:space="preserve">The 3 other people robbed at gunpoint, was that in the same area? </t>
  </si>
  <si>
    <t>I live in that area and walk down that stretch of Wrightwood every day.  It's scary how dark it is it really is perfect for a robbery.</t>
  </si>
  <si>
    <t>thanks for that, I forgot for a brief second how crime ridden our fair city is.</t>
  </si>
  <si>
    <t xml:space="preserve">crimes not out of control in lakeview....careless idiots (easy marks) are outta control, and they always report the crime when it happens. </t>
  </si>
  <si>
    <t>I once was exploring Chicago, and I got off the train in that area, and someone threatened to rob me as soon as I left the station.</t>
  </si>
  <si>
    <t xml:space="preserve">I have not been robbed during my five years in this city. I know people who have. </t>
  </si>
  <si>
    <t>shit I've had my bike stolen WHILE locked up. now I double lock!</t>
  </si>
  <si>
    <t>Yeah...Like, I know getting your bike stolen is almost a given here, but I've been here more than two years and have never had my bike stolen. Sometimes it was locked up in questionable places for a few hours at night, but it's always been there when I've gotten back to it.</t>
  </si>
  <si>
    <t>if it's reported stolen or lost they cancel the card</t>
  </si>
  <si>
    <t>I went through 4 bikes the year I lived in Ukrainian Village. 2 were stolen while locked. The others were cheap replacements that barely worked. I moved out of the neighborhood and haven't had a problem in years.</t>
  </si>
  <si>
    <t xml:space="preserve">It is. It's pretty sad that people are upset that CTA wants to stop being robbed by a few million. </t>
  </si>
  <si>
    <t xml:space="preserve">I've worked in that area for almost eight years now, and we've not had any real problems.  Comparatively, our people had more crime trouble when we were in the Loop than we have here.  </t>
  </si>
  <si>
    <t xml:space="preserve">The car was stolen. </t>
  </si>
  <si>
    <t xml:space="preserve">You have to keep in mind that not ALL of the south and west side is high crime. </t>
  </si>
  <si>
    <t>ALL YOU SEE IS CRIME IN THE CITY</t>
  </si>
  <si>
    <t xml:space="preserve">Hopefully one of these people is from my building. 3 packages stolen in the past year. </t>
  </si>
  <si>
    <t xml:space="preserve">My roommate got his stolen from his CRV in Ukrainian village this summer. </t>
  </si>
  <si>
    <t xml:space="preserve">My buddy was robbed in Lakeview this week. 4 guys. </t>
  </si>
  <si>
    <t xml:space="preserve">82nd and Kenzie isn't that rough. This is a relatively rare event around there. It has about the same crime as parts of Logan sq. </t>
  </si>
  <si>
    <t>That's pretty infuriating though.  You report your car stolen, they find it 64 times, and instead of returning it to you they give it a ticket.</t>
  </si>
  <si>
    <t>Drink drivers do this all the time. Many try to report the car stolen. Doesn't work.</t>
  </si>
  <si>
    <t>Sorry to hear! My grandpa had his stolen car recovered after it ran out of gas and was dumped.</t>
  </si>
  <si>
    <t xml:space="preserve">Reminds me of the time I was robbed on the train in 8th grade for only donating $1 to some guys' basketball team. </t>
  </si>
  <si>
    <t>Two robberies in broad daylight. I live right by there. I feel safe.</t>
  </si>
  <si>
    <t>I've been working on and off in Englewood for the past year and a half. I have been telling people for almost the entire time, that neighborhood is ripe for a turnaround. It has everything a neighborhood needs to thrive. Now if they can only fix that whole murder thing...</t>
  </si>
  <si>
    <t>It was a smash and grab robbery</t>
  </si>
  <si>
    <t xml:space="preserve">I leave my bike street parked for days. Never had it stolen. Depends on the bike. </t>
  </si>
  <si>
    <t>dude got robbed of his weed money and didn't have the jewels to snatch his own chain back!</t>
  </si>
  <si>
    <t xml:space="preserve">Bridgeport is great for that. Low crime, low rent, and only two stops out of the Loop. </t>
  </si>
  <si>
    <t>theft</t>
  </si>
  <si>
    <t>Yeah it was stolen on the east side of Joliet. So most def there are enough shady garages on that side of town. 
Appreciate the effort!</t>
  </si>
  <si>
    <t>Yeah seems more like a hate crime.</t>
  </si>
  <si>
    <t>False, the majority of crimes are against blacks/Hispanics. Why would I leave the city of the murder rate per capita is extremely low for my ethnicity?</t>
  </si>
  <si>
    <t xml:space="preserve">Crime in Chicago is heavily concentrated. Even more so than most cities. You'll be fine in downtown. </t>
  </si>
  <si>
    <t>Wow someone got robbed in Chicago im so surprised.</t>
  </si>
  <si>
    <t>I got robbed when I was 10, for a Trek Mountain bike I was riding. Police caught the dude though, he did like 3 years.</t>
  </si>
  <si>
    <t xml:space="preserve">In the 70's and early 90's the murder rate was twice as high...but ya..nothing at all has been done. </t>
  </si>
  <si>
    <t>I guess you haven't seen how well this new system is working either. Turns out, you can somehow make it even worse and make the rest of the residents of the city have to deal with the crime as well.</t>
  </si>
  <si>
    <t>Definitely drug addicts. Why the overkill. Killing 6 people and stabbing one victim 40 times?</t>
  </si>
  <si>
    <t>Solution to robberies: shoot everyone who comes near you.</t>
  </si>
  <si>
    <t>White people commit crime all the time.</t>
  </si>
  <si>
    <t xml:space="preserve">Brown line is totally safe. It doesn't really travel through high crime areas. Albany Park is probably the most "crime filled" area it travels to but even then it's not as bad as the further west/south areas on the blue line. If you're living in the Albany Park area close to the train you'll be fine. </t>
  </si>
  <si>
    <t xml:space="preserve">Sounds like a robbery gone wrong? Either way, tragic. </t>
  </si>
  <si>
    <t>Have a buzzer that locks the door as soon as they try to exit the store with your liquor. Them locked in your store gives you enough time for the police to come. If they try to harm you, have firepower ready at hand. After this no kid will ever try to rob your store again.</t>
  </si>
  <si>
    <t>That is why crime occurs everyday.</t>
  </si>
  <si>
    <t>I was robbed at gunpoint by a young black male in Wicker Park late Sunday night. Wonder if this is connected at all. Sorry to hear that man, I'm pretty shook up still.</t>
  </si>
  <si>
    <t>Lakeview is also seeing a lot of robberies of late too.</t>
  </si>
  <si>
    <t>I hear you.  This is the first day time robbery I've heard of.  I also lived right off Schubert for years.  I changed my routine at night after hearing about a series of robberies but still walked down Schubert to the train in the mornings.</t>
  </si>
  <si>
    <t xml:space="preserve">I would like to think they would lock these thugs up for a substantial amount of time as a message to others looking to rob people at gunpoint, but I do not see that happening in Cook County. </t>
  </si>
  <si>
    <t>Yes, it has a traditional downtown area and also much of it is beautiful $1 million+ homes... I'm not sure how much or how deep the crime carries over from Chicago, but doesn't appear to impact that much of the town.</t>
  </si>
  <si>
    <t>Thats not racist, thats caring about things closer to home.  I'm black and I live up north.  So yes, I care a lot more about a crime happening near me than I do about a crime happening miles away in a place I never go.  But I also care more about crime in Englewood than I do about crime in NYC.  I care more about crime in NYC than I do about crime in Paris.  Its all about proximity.</t>
  </si>
  <si>
    <t xml:space="preserve">&gt; Undoubtably it was stolen like a majority of my mail in this city.
When I lived in Lincoln Park, I had a streak that every greeting card I received would come already opened.  It was really amazing. </t>
  </si>
  <si>
    <t>Property values went up in Logan along with the crime</t>
  </si>
  <si>
    <t>We wouldn't ask this if we weren't so crime ridden</t>
  </si>
  <si>
    <t>I'll never understand people that try to flee the scene of a crash when they are in their own personal vehicle. Gonna try to claim the car was stolen?</t>
  </si>
  <si>
    <t>Damn that's crazy. Wonder if it was a hate crime or if they shot the wrong car</t>
  </si>
  <si>
    <t>So 16% of our loss of population is murder...  That's messed.</t>
  </si>
  <si>
    <t xml:space="preserve">You never went through the trauma of getting an Xbox 360 for Christmas instead of an Xbox One. When you live through something that traumatic your only choice is to shoot at police and to murder people over a dice game. </t>
  </si>
  <si>
    <t xml:space="preserve">If I avoided placed that have been robbed before I would not have many options for dining, retail, etc. </t>
  </si>
  <si>
    <t>Murder on the new ice rink.</t>
  </si>
  <si>
    <t xml:space="preserve">I once did hear "and all the victims of crime, so that they may rest eternally with God." That threw me off, but it was a nice touch. Not sure which period of time or crimes they were referring to, though. </t>
  </si>
  <si>
    <t>pretty sure robbery is part of the authentic Chicago experience</t>
  </si>
  <si>
    <t>are you trying to keep your car from being stolen or for driving and recording possible accidents</t>
  </si>
  <si>
    <t>yes! It can be kind of concerning. I moved here from a low-crime city. Still wading around trying to see if chicago crime is as crazy as East-Coasters think it is.</t>
  </si>
  <si>
    <t>Often it seems like people on this sub want to stick their heads in the sand and pretend like crime doesn't exist.</t>
  </si>
  <si>
    <t xml:space="preserve">I do take a particular interest in Chicago crime. </t>
  </si>
  <si>
    <t>Thank you so much for the feedback! This is awesome. Yeah, we gave ourselves a small pat on the back w/ the mobile UI. 
We've been having trouble finding crime/safety stats that seem accurate/helpful. Any thoughts there?
Again, thanks so much!</t>
  </si>
  <si>
    <t>You're right. Now we're globally recognized for our murder rates and police brutality.</t>
  </si>
  <si>
    <t>&gt; Now we're globally recognized for our murder rates and police brutality.
That's not new.</t>
  </si>
  <si>
    <t xml:space="preserve">How would a guy who works as a performer mess with gangs especially in Brighton Park? I doubt he'd get killed for snitching unless he snitched on a murder. </t>
  </si>
  <si>
    <t>People get their packages stolen minutes after they are left by their front door.</t>
  </si>
  <si>
    <t>Murder rate would drop 75%.</t>
  </si>
  <si>
    <t>that would be a mop, stolen from the homeless person on the street</t>
  </si>
  <si>
    <t xml:space="preserve">Looks like trunc got the title wrong. I've fixed it.
Chicago-area black population drops as residents murder each other.
</t>
  </si>
  <si>
    <t xml:space="preserve">I understand that Rahm will be announcing this "significant drop in crime...." this weekend, and say it was a result of getting rid of McCarthy. </t>
  </si>
  <si>
    <t xml:space="preserve">That is not always the case. If robbery is a motive, a criminal can get a better score in Lakeview than they could in Englewood. Do you really think most of the robberies which take place around here are committed by neighborhood locals? </t>
  </si>
  <si>
    <t xml:space="preserve">I get the sentiment that someone would want to stop someone from spraying into a crowd but the thought of getting caught in the middle of a shootout is pretty terrifying. </t>
  </si>
  <si>
    <t>Actually, having worked at the pharmacy side of the store, I can boil it down to one thing. Theft. You would be surprised to find out how much theft there is at grocery stores and self checkout lanes help the robbers.</t>
  </si>
  <si>
    <t>Your video is beautiful.  So nice that I forgot about my tax bill, teachers strike, crime sprees, and belligerent hobos.   One suggestion: You need to update this with our scenic winter: frozen lake with downy flake.</t>
  </si>
  <si>
    <t>I'm sorry, but why the fuck would they decide to rob a coffee shop, of all things?</t>
  </si>
  <si>
    <t xml:space="preserve">how is this a contradictory narrative? one they wrote about the englewood event, and the other they reported a murder and a residents thoughts about it. </t>
  </si>
  <si>
    <t>Speaking of the subsidized memberships, I'd be surprised if there wasn't some sort of major fine and the bike being considered stolen if it wasn't returned within 24 hours. Though I bet any such fines after 24 hours and late fees if the bike isn't returned within 30 minutes, would be reduced from the regular member fees.
Why is it I get the feeling that probably not many in those areas, would have Divvy subsidized memberships anyway?</t>
  </si>
  <si>
    <t>The Bulls are fighting against gun crime in Chicago by making sure no one on their team shoots.</t>
  </si>
  <si>
    <t>murder</t>
  </si>
  <si>
    <t xml:space="preserve">This is definitely not true, although less so as time goes on and tech gets better. There are certainly a non zero amount of successful bank robberies.  </t>
  </si>
  <si>
    <t>Yeah, the place it was basically stolen from</t>
  </si>
  <si>
    <t>I'm a 6'1" male and crime is personally scares ne from Uptown. Rogers Park is roughly as cheap for 15 extra minutes of time and I am not worried walking around late at night.</t>
  </si>
  <si>
    <t>Its a shitty neighborhood. Plenty of gang activity and crime.</t>
  </si>
  <si>
    <t>&gt; Our little lake county suburb has high taxes and the second lowest crime rate in Illinois for a reason.
Your tax dollars are actually at work?</t>
  </si>
  <si>
    <t>No, the crime in Chicago is part of living here.</t>
  </si>
  <si>
    <t xml:space="preserve">I believe the problem here is that 33,000 juveniles over the past two decades got caught up in gang activity in some way, not that the police labeled that activity "gang activity".  That's a tragedy. </t>
  </si>
  <si>
    <t xml:space="preserve">There's also a bunch of crime in River North. Coincidence? </t>
  </si>
  <si>
    <t>crime</t>
  </si>
  <si>
    <t>The Chicago police union is one of the least credible major metropolitan police unions in the nation. They have covered up tourture, murder, extortion, and political oppression by their own members.</t>
  </si>
  <si>
    <t>We're trying to leave too.  Taxes, crime, weather - it's gotten old after 10 years here.</t>
  </si>
  <si>
    <t>Dont bike there. Bad neighborhood.</t>
  </si>
  <si>
    <t>While Logan Square still has a significant amount of gang activity in some areas, and there will no doubt be some incidents of gunfire, the nightly occurrences you are hearing are almost certainly fireworks.</t>
  </si>
  <si>
    <t>Not like that but around 2005 I was robbed in broad daylight waiting for the blue line. 3 dudes came up flashed a gun and took all my shit. Only bad incident I've had riding CTA</t>
  </si>
  <si>
    <t>I filed a report that night.  They said it's theft at the very minimum</t>
  </si>
  <si>
    <t>Chicago is far too corrupt for that type of honesty to work.
People forget that we were basically the birthplace of modern organized crime and created the Micheal Jordan of corruption in Al Capone.
Sure Al Capone went to jail but the culture of bribery and corruption never fully did.  I can tell you stories about how bad it is, anyone who was raised here can.</t>
  </si>
  <si>
    <t>The police investigators are ineffective in Chicago. A murder clearance rate of less than 20% is abhorrent</t>
  </si>
  <si>
    <t>Probably gang related, if you're not involved in gangs this kinda shit doesn't affect you beyond delaying your CTA journey
Maybe if people stopped following CWB chicago-type crime reporting people would feel safer</t>
  </si>
  <si>
    <t>That Logan is not and never has been safe from gang activity compared to nearby counterparts like Roscoe Village.
That comparing a Southside neighborhood to a Northside neighborhood is like comparing two different cities in Chicago. They even have their own separate baseball teams.</t>
  </si>
  <si>
    <t>Anything in the loop is fucked. So much looting. It's really bad. Anyone who lives in river north, the south loop, or the loop is scared tonight.</t>
  </si>
  <si>
    <t>Looting the Home Depot now for drywall and orange buckets</t>
  </si>
  <si>
    <t>public safety</t>
  </si>
  <si>
    <t>stolen</t>
  </si>
  <si>
    <t>stabbing</t>
  </si>
  <si>
    <t>smuggling</t>
  </si>
  <si>
    <t>vandalism</t>
  </si>
  <si>
    <t>gang activity</t>
  </si>
  <si>
    <t>bad neighborhood</t>
  </si>
  <si>
    <t>robbed</t>
  </si>
  <si>
    <t>rob</t>
  </si>
  <si>
    <t>crime, theft</t>
  </si>
  <si>
    <t>robbery</t>
  </si>
  <si>
    <t>burglaries</t>
  </si>
  <si>
    <t>robberies</t>
  </si>
  <si>
    <t>organized crime</t>
  </si>
  <si>
    <t>crime, stolen</t>
  </si>
  <si>
    <t>hate crime</t>
  </si>
  <si>
    <t>shootout</t>
  </si>
  <si>
    <t>hit and run</t>
  </si>
  <si>
    <t>looting</t>
  </si>
  <si>
    <t>kidnapping</t>
  </si>
  <si>
    <t>crime, murder</t>
  </si>
  <si>
    <t>crime, arson, stabbing</t>
  </si>
  <si>
    <t>property damage</t>
  </si>
  <si>
    <t>self-defense</t>
  </si>
  <si>
    <t>robbery, robberies</t>
  </si>
  <si>
    <t>crime, robbed</t>
  </si>
  <si>
    <t>burglary</t>
  </si>
  <si>
    <t>police brutality</t>
  </si>
  <si>
    <t>murder, self-defense</t>
  </si>
  <si>
    <t>robbery, robbed</t>
  </si>
  <si>
    <t>murder, extortion</t>
  </si>
  <si>
    <t>crime, looting</t>
  </si>
  <si>
    <t>seen crime rates chicago youre looking little anarchist utopia chicago closest youre going come</t>
  </si>
  <si>
    <t>meh live right next gary know murder capital us many times</t>
  </si>
  <si>
    <t>gang activity uptown rogers park lot visible parts north side agreed nothing compared south west sides folks dont spend lot time outside lincoln park lakeview makes area seem lot worse really junkies along broadway truman college dont help uptowns reputation much either ive never problems</t>
  </si>
  <si>
    <t>everything gets stolen near united center</t>
  </si>
  <si>
    <t>bike wasnt stolen itd help</t>
  </si>
  <si>
    <t>agreed ive robbed car broken middle day plenty times yeah elaborate stuff might happen night gang shit robbed pulling window ac plenty stuff happens day</t>
  </si>
  <si>
    <t>tried kick one backpack stolen didnt work</t>
  </si>
  <si>
    <t>wow sounds like lot people robbed jumped specific area stepping police patrols little police presence would go long way</t>
  </si>
  <si>
    <t>know girl robbed broad daylight corner clark armitage</t>
  </si>
  <si>
    <t>sorry hear know couple people robbed division wolcott careful people</t>
  </si>
  <si>
    <t>live wicker parkbucktown lately crazy around crime would suggest lincoln square roscoe village great family neighborhoods safe still close loop downtown area entertainment bars restaurants check em</t>
  </si>
  <si>
    <t>recommend andersonville bunch great restaurants close red line train quite safe years ago would said wrigleyville crime really picked since economy tanked</t>
  </si>
  <si>
    <t>think stop comparing weather start comparing criminals outlandish crime stories</t>
  </si>
  <si>
    <t>streets near uc good luck getting back car without robbed</t>
  </si>
  <si>
    <t>chicago far crime per capita kankakee move</t>
  </si>
  <si>
    <t>good advice theft probably common crime around lakeview much else way crime</t>
  </si>
  <si>
    <t>thanks ive looking buy another bike since last one stolen last fall ill check place</t>
  </si>
  <si>
    <t>know two people happen got phone stolen hands green line around pm summer</t>
  </si>
  <si>
    <t>ive lived neighborhood four years zero issues crime feel safer neighborhood along red line</t>
  </si>
  <si>
    <t>totally really hope youre right mean despite slight demographic shift past couple years still pretty far bad neighborhood</t>
  </si>
  <si>
    <t>forgot mention guy got jumped guy shoe shine kit robbed way</t>
  </si>
  <si>
    <t>guys initiated wouldnt didnt advantage typical strongarm robbery sorry lost loot least didnt suffer lot damage process</t>
  </si>
  <si>
    <t>yea biggest fear even wicker park string burglaries well hard really deter something like bars accessible windows new place</t>
  </si>
  <si>
    <t>loads muggings robberies</t>
  </si>
  <si>
    <t>forgot chicago major city crime debt</t>
  </si>
  <si>
    <t>tools tools stolen along last bike</t>
  </si>
  <si>
    <t>youre premise correct explain nyc lower crime rate chicago</t>
  </si>
  <si>
    <t>everyone brace crime spike</t>
  </si>
  <si>
    <t>friend robbed knife point pink line th</t>
  </si>
  <si>
    <t>ive phone stolen hand riding subway wasnt paying attention ive lived two years ive encountered scary people twice physical harm city every bit worth</t>
  </si>
  <si>
    <t>might might hard say poverty crime seem go together though unless theyre stealing real money theyre probably working hedge fund</t>
  </si>
  <si>
    <t>also murder attempt</t>
  </si>
  <si>
    <t>fuckin know stolen man</t>
  </si>
  <si>
    <t>moveaway crime</t>
  </si>
  <si>
    <t>last year subsequently stolen months later</t>
  </si>
  <si>
    <t>im always getting emails school people robbed station</t>
  </si>
  <si>
    <t>plan get robbed bike sometime soon</t>
  </si>
  <si>
    <t>mine stolen</t>
  </si>
  <si>
    <t>empty wallet gun imma get robbed</t>
  </si>
  <si>
    <t>im shocked people ready murder phone</t>
  </si>
  <si>
    <t>wan na get mugged englewood dont snatch run hit run</t>
  </si>
  <si>
    <t>club got one one cars stolen</t>
  </si>
  <si>
    <t>actually alcoholic roommate one robbed asleep room thanks man</t>
  </si>
  <si>
    <t>yet lot crime go figure</t>
  </si>
  <si>
    <t>thats peak murder hour</t>
  </si>
  <si>
    <t>city highest murder yes bad</t>
  </si>
  <si>
    <t>iphone would get stolen got ashland</t>
  </si>
  <si>
    <t>bike stolen years ago effort anything pointless buy another bike probably stolen point thats drive car</t>
  </si>
  <si>
    <t>bike thieves low sons bitches bike stolen college school month havent bought new one since</t>
  </si>
  <si>
    <t>murder rate much higher year</t>
  </si>
  <si>
    <t>evol got robbed btw</t>
  </si>
  <si>
    <t>murder rate high</t>
  </si>
  <si>
    <t>well least close biketheffriendliest ive already two bikes stolen past years</t>
  </si>
  <si>
    <t>word iphone cracked nonetheless stolen purse exiting brown line back december careful things everyone apple pickers around</t>
  </si>
  <si>
    <t>yes area around diversey stop less crime</t>
  </si>
  <si>
    <t>stolen car turned cicero</t>
  </si>
  <si>
    <t>new orleans detroit many american cities higher murder rates new orleans times worse bullshit face stop spouting lies</t>
  </si>
  <si>
    <t>double stabbing followed arson attempt cover crime definitely something see every day neighborhood</t>
  </si>
  <si>
    <t>friend bike stolen couple weeks ago would leave</t>
  </si>
  <si>
    <t>public safety sometimes certainly always rarely night</t>
  </si>
  <si>
    <t>murder capitol yet</t>
  </si>
  <si>
    <t>one friends also robbed gunpoint last night coming home jewel four blocks apt dont nitty gritty details wondering might people spree</t>
  </si>
  <si>
    <t>shit murder gon na go</t>
  </si>
  <si>
    <t>thats part problem murder rate isnt much higher higher large cities seen murder rate plummet chicago new york example less murders chicago three times population chicago far right gun nuts liberials always easiest blame</t>
  </si>
  <si>
    <t>chicago crime obituary section probably big enough paper</t>
  </si>
  <si>
    <t>murder rate cut half years yeah close lowest since right</t>
  </si>
  <si>
    <t>ive felt safe nyc brooklyn entire life ive lived none friends ever robbedmugged</t>
  </si>
  <si>
    <t>chicago probably stolen</t>
  </si>
  <si>
    <t>crime blotters hundreds incidents weekend public record</t>
  </si>
  <si>
    <t>live right area like really close girlfriend got wheel trek bike stolen see person bike ill give double kick dick</t>
  </si>
  <si>
    <t>agreed increased risk theft keep bag lap one arm straps</t>
  </si>
  <si>
    <t>seen gun pulled far brown line purse robbery sedgwick stop</t>
  </si>
  <si>
    <t>wouldnt worry vast majority crime happens south west sides real reason ever go parts</t>
  </si>
  <si>
    <t>put away dont get sucker punched get shit stolen</t>
  </si>
  <si>
    <t>burglarized norwood park low crime area robbed someone know</t>
  </si>
  <si>
    <t>dont think places like andersonville edgewater ever much crime problem</t>
  </si>
  <si>
    <t>theres couple facebook groups keep eye chicago bike society chicago bike selling chicago bike parts swap stolen things end often quickly</t>
  </si>
  <si>
    <t>crappy looking old bike stolen recently managed chase two guys stole got bike back didnt get stabbed</t>
  </si>
  <si>
    <t>crime always happening north side</t>
  </si>
  <si>
    <t>feel hipsters getting bikes stolen think cops lot plates</t>
  </si>
  <si>
    <t>south side murder fest city much better</t>
  </si>
  <si>
    <t>chicago either going murder</t>
  </si>
  <si>
    <t>im hearing nd victim died makes think murdersuicide seeing scene secured quickly id say shooter dead scene</t>
  </si>
  <si>
    <t>working nights cicero spring may cc stolen one crews box truck happened within hourthey gone break gone back hour later gone</t>
  </si>
  <si>
    <t>sounds like hit run</t>
  </si>
  <si>
    <t>got chased almost got robbed stop years ago people shitty</t>
  </si>
  <si>
    <t>well banned murder seems working</t>
  </si>
  <si>
    <t>boyfriend got robbed montrose wolcott tonight potentially guys</t>
  </si>
  <si>
    <t>sucks stuff stolen feel bad never leave valuables vehicle</t>
  </si>
  <si>
    <t>car turned stolen recovered thank help concern</t>
  </si>
  <si>
    <t>yup crime shitty politicians polar vortexes cubs cabs</t>
  </si>
  <si>
    <t>buddies bike recently stolen similar scenario uptown unlocked sight back porch inside lockedgated parking lot definitely keep bike inside</t>
  </si>
  <si>
    <t>til bike chicago lock like vault ft knox stolen</t>
  </si>
  <si>
    <t>bike stolen last night known better</t>
  </si>
  <si>
    <t>go swaporama ashland lots stolen bikes end</t>
  </si>
  <si>
    <t>im glad hear uchicago seems like great place study currently im sociology anthropology double major interested chicagos crimedeviance urban ethnography courses ill message questions haha</t>
  </si>
  <si>
    <t>people robbed gunpoint area</t>
  </si>
  <si>
    <t>live area walk stretch wrightwood every day scary dark really perfect robbery</t>
  </si>
  <si>
    <t>thanks forgot brief second crime ridden fair city</t>
  </si>
  <si>
    <t>crimes control lakeviewcareless idiots easy marks outta control always report crime happens</t>
  </si>
  <si>
    <t>exploring chicago got train area someone threatened rob soon left station</t>
  </si>
  <si>
    <t>robbed five years city know people</t>
  </si>
  <si>
    <t>shit ive bike stolen locked double lock</t>
  </si>
  <si>
    <t>yeahlike know getting bike stolen almost given ive two years never bike stolen sometimes locked questionable places hours night always ive gotten back</t>
  </si>
  <si>
    <t>reported stolen lost cancel card</t>
  </si>
  <si>
    <t>went bikes year lived ukrainian village stolen locked others cheap replacements barely worked moved neighborhood havent problem years</t>
  </si>
  <si>
    <t>pretty sad people upset cta wants stop robbed million</t>
  </si>
  <si>
    <t>ive worked area almost eight years weve real problems comparatively people crime trouble loop</t>
  </si>
  <si>
    <t>car stolen</t>
  </si>
  <si>
    <t>keep mind south west side high crime</t>
  </si>
  <si>
    <t>see crime city</t>
  </si>
  <si>
    <t>hopefully one people building packages stolen past year</t>
  </si>
  <si>
    <t>roommate got stolen crv ukrainian village summer</t>
  </si>
  <si>
    <t>buddy robbed lakeview week guys</t>
  </si>
  <si>
    <t>nd kenzie isnt rough relatively rare event around crime parts logan sq</t>
  </si>
  <si>
    <t>thats pretty infuriating though report car stolen find times instead returning give ticket</t>
  </si>
  <si>
    <t>drink drivers time many try report car stolen doesnt work</t>
  </si>
  <si>
    <t>sorry hear grandpa stolen car recovered ran gas dumped</t>
  </si>
  <si>
    <t>reminds time robbed train th grade donating guys basketball team</t>
  </si>
  <si>
    <t>two robberies broad daylight live right feel safe</t>
  </si>
  <si>
    <t>ive working englewood past year half telling people almost entire time neighborhood ripe turnaround everything neighborhood needs thrive fix whole murder thing</t>
  </si>
  <si>
    <t>smash grab robbery</t>
  </si>
  <si>
    <t>leave bike street parked days never stolen depends bike</t>
  </si>
  <si>
    <t>dude got robbed weed money didnt jewels snatch chain back</t>
  </si>
  <si>
    <t>bridgeport great low crime low rent two stops loop</t>
  </si>
  <si>
    <t>stolen car</t>
  </si>
  <si>
    <t>yeah stolen east side joliet def enough shady garages side town appreciate effort</t>
  </si>
  <si>
    <t>yeah seems like hate crime</t>
  </si>
  <si>
    <t>false majority crimes blackshispanics would leave city murder rate per capita extremely low ethnicity</t>
  </si>
  <si>
    <t>crime chicago heavily concentrated even cities youll fine downtown</t>
  </si>
  <si>
    <t>wow someone got robbed chicago im surprised</t>
  </si>
  <si>
    <t>got robbed trek mountain bike riding police caught dude though like years</t>
  </si>
  <si>
    <t>early murder rate twice highbut yanothing done</t>
  </si>
  <si>
    <t>guess havent seen well new system working either turns somehow make even worse make rest residents city deal crime well</t>
  </si>
  <si>
    <t>definitely drug addicts overkill killing people stabbing one victim times</t>
  </si>
  <si>
    <t>solution robberies shoot everyone comes near</t>
  </si>
  <si>
    <t>white people commit crime time</t>
  </si>
  <si>
    <t>brown line totally safe doesnt really travel high crime areas albany park probably crime filled area travels even bad westsouth areas blue line youre living albany park area close train youll fine</t>
  </si>
  <si>
    <t>sounds like robbery gone wrong either way tragic</t>
  </si>
  <si>
    <t>buzzer locks door soon try exit store liquor locked store gives enough time police come try harm firepower ready hand kid ever try rob store</t>
  </si>
  <si>
    <t>crime occurs everyday</t>
  </si>
  <si>
    <t>robbed gunpoint young black male wicker park late sunday night wonder connected sorry hear man im pretty shook still</t>
  </si>
  <si>
    <t>lakeview also seeing lot robberies late</t>
  </si>
  <si>
    <t>hear first day time robbery ive heard also lived right schubert years changed routine night hearing series robberies still walked schubert train mornings</t>
  </si>
  <si>
    <t>would like think would lock thugs substantial amount time message others looking rob people gunpoint see happening cook county</t>
  </si>
  <si>
    <t>yes traditional downtown area also much beautiful million homes im sure much deep crime carries chicago doesnt appear impact much town</t>
  </si>
  <si>
    <t>thats racist thats caring things closer home im black live north yes care lot crime happening near crime happening miles away place never go also care crime englewood crime nyc care crime nyc crime paris proximity</t>
  </si>
  <si>
    <t>undoubtably stolen like majority mail city lived lincoln park streak every greeting card received would come already opened really amazing</t>
  </si>
  <si>
    <t>property values went logan along crime</t>
  </si>
  <si>
    <t>wouldnt ask werent crime ridden</t>
  </si>
  <si>
    <t>ill never understand people try flee scene crash personal vehicle gon na try claim car stolen</t>
  </si>
  <si>
    <t>damn thats crazy wonder hate crime shot wrong car</t>
  </si>
  <si>
    <t>loss population murder thats messed</t>
  </si>
  <si>
    <t>never went trauma getting xbox christmas instead xbox one live something traumatic choice shoot police murder people dice game</t>
  </si>
  <si>
    <t>avoided placed robbed would many options dining retail etc</t>
  </si>
  <si>
    <t>murder new ice rink</t>
  </si>
  <si>
    <t>hear victims crime may rest eternally god threw nice touch sure period time crimes referring though</t>
  </si>
  <si>
    <t>pretty sure robbery part authentic chicago experience</t>
  </si>
  <si>
    <t>trying keep car stolen driving recording possible accidents</t>
  </si>
  <si>
    <t>yes kind concerning moved lowcrime city still wading around trying see chicago crime crazy eastcoasters think</t>
  </si>
  <si>
    <t>often seems like people sub want stick heads sand pretend like crime doesnt exist</t>
  </si>
  <si>
    <t>take particular interest chicago crime</t>
  </si>
  <si>
    <t>thank much feedback awesome yeah gave small pat back w mobile ui weve trouble finding crimesafety stats seem accuratehelpful thoughts thanks much</t>
  </si>
  <si>
    <t>youre right globally recognized murder rates police brutality</t>
  </si>
  <si>
    <t>globally recognized murder rates police brutality thats new</t>
  </si>
  <si>
    <t>would guy works performer mess gangs especially brighton park doubt hed get killed snitching unless snitched murder</t>
  </si>
  <si>
    <t>people get packages stolen minutes left front door</t>
  </si>
  <si>
    <t>murder rate would drop</t>
  </si>
  <si>
    <t>would mop stolen homeless person street</t>
  </si>
  <si>
    <t>looks like trunc got title wrong ive fixed chicagoarea black population drops residents murder</t>
  </si>
  <si>
    <t>understand rahm announcing significant drop crime weekend say result getting rid mccarthy</t>
  </si>
  <si>
    <t>always case robbery motive criminal get better score lakeview could englewood really think robberies take place around committed neighborhood locals</t>
  </si>
  <si>
    <t>get sentiment someone would want stop someone spraying crowd thought getting caught middle shootout pretty terrifying</t>
  </si>
  <si>
    <t>actually worked pharmacy side store boil one thing theft would surprised find much theft grocery stores self checkout lanes help robbers</t>
  </si>
  <si>
    <t>video beautiful nice forgot tax bill teachers strike crime sprees belligerent hobos one suggestion need update scenic winter frozen lake downy flake</t>
  </si>
  <si>
    <t>im sorry fuck would decide rob coffee shop things</t>
  </si>
  <si>
    <t>contradictory narrative one wrote englewood event reported murder residents thoughts</t>
  </si>
  <si>
    <t>speaking subsidized memberships id surprised wasnt sort major fine bike considered stolen wasnt returned within hours though bet fines hours late fees bike isnt returned within minutes would reduced regular member fees get feeling probably many areas would divvy subsidized memberships anyway</t>
  </si>
  <si>
    <t>bulls fighting gun crime chicago making sure one team shoots</t>
  </si>
  <si>
    <t>definitely true although less time goes tech gets better certainly non zero amount successful bank robberies</t>
  </si>
  <si>
    <t>yeah place basically stolen</t>
  </si>
  <si>
    <t>im male crime personally scares ne uptown rogers park roughly cheap extra minutes time worried walking around late night</t>
  </si>
  <si>
    <t>shitty neighborhood plenty gang activity crime</t>
  </si>
  <si>
    <t>little lake county suburb high taxes second lowest crime rate illinois reason tax dollars actually work</t>
  </si>
  <si>
    <t>crime chicago part living</t>
  </si>
  <si>
    <t>believe problem juveniles past two decades got caught gang activity way police labeled activity gang activity thats tragedy</t>
  </si>
  <si>
    <t>theres also bunch crime river north coincidence</t>
  </si>
  <si>
    <t>chicago police union one least credible major metropolitan police unions nation covered tourture murder extortion political oppression members</t>
  </si>
  <si>
    <t>trying leave taxes crime weather gotten old years</t>
  </si>
  <si>
    <t>dont bike bad neighborhood</t>
  </si>
  <si>
    <t>logan square still significant amount gang activity areas doubt incidents gunfire nightly occurrences hearing almost certainly fireworks</t>
  </si>
  <si>
    <t>got robbed</t>
  </si>
  <si>
    <t>like around robbed broad daylight waiting blue line dudes came flashed gun took shit bad incident ive riding cta</t>
  </si>
  <si>
    <t>filed report night said theft minimum</t>
  </si>
  <si>
    <t>chicago far corrupt type honesty work people forget basically birthplace modern organized crime created micheal jordan corruption al capone sure al capone went jail culture bribery corruption never fully tell stories bad anyone raised</t>
  </si>
  <si>
    <t>police investigators ineffective chicago murder clearance rate less abhorrent</t>
  </si>
  <si>
    <t>probably gang related youre involved gangs kinda shit doesnt affect beyond delaying cta journey maybe people stopped following cwb chicagotype crime reporting people would feel safer</t>
  </si>
  <si>
    <t>logan never safe gang activity compared nearby counterparts like roscoe village comparing southside neighborhood northside neighborhood like comparing two different cities chicago even separate baseball teams</t>
  </si>
  <si>
    <t>anything loop fucked much looting really bad anyone lives river north south loop loop scared tonight</t>
  </si>
  <si>
    <t>looting home depot drywall orange buckets</t>
  </si>
  <si>
    <t>Neutral</t>
  </si>
  <si>
    <t>Negative</t>
  </si>
  <si>
    <t>Positive</t>
  </si>
  <si>
    <t>Manually_Assigned_Ratings</t>
  </si>
  <si>
    <t>Florida</t>
  </si>
  <si>
    <t>I have had stuff stolen from my car countless times there</t>
  </si>
  <si>
    <t>stuff stolen car countless times</t>
  </si>
  <si>
    <t>crack addicted drifter who drives a ford? sounds like the person who did a hit and run on my car then skipped town.</t>
  </si>
  <si>
    <t>crack addicted drifter drives ford sounds like person hit run car skipped town</t>
  </si>
  <si>
    <t>So a stabbing is routine?</t>
  </si>
  <si>
    <t>stabbing routine</t>
  </si>
  <si>
    <t>Enjoy getting AIDS and robbed.</t>
  </si>
  <si>
    <t>enjoy getting aids robbed</t>
  </si>
  <si>
    <t>do NOT go inland down south. it is poor, crime ridden, and very, very spanish.</t>
  </si>
  <si>
    <t>go inland south poor crime ridden spanish</t>
  </si>
  <si>
    <t>I live in Vero Beach and love it.  It is a small, inexpensive beach town with low crime.  The only down side is not much of a night life if you are into that kind of stuff.</t>
  </si>
  <si>
    <t>live vero beach love small inexpensive beach town low crime side much night life kind stuff</t>
  </si>
  <si>
    <t>Venice is really beautiful and clean. Its got a good community with low crime and verity of shopping plazas to choose from.</t>
  </si>
  <si>
    <t>venice really beautiful clean got good community low crime verity shopping plazas choose</t>
  </si>
  <si>
    <t>Check out the area around Mount Dora.  My wife and I started our search there and wound up buying in Howey in the Hills.  From my home it is 30 minutes to Disney, 45 to the Orlando Airport and 15 minutes to Kohls.  There is a Navy exchange near the airport.  The area is is quiet, friendly, and low crime.  
We did have 3-4 days that got to 32 degrees overnight.
The VA is building a new hospital in Orlando expected to open in December 2014.</t>
  </si>
  <si>
    <t>check area around mount dora wife started search wound buying howey hills home minutes disney orlando airport minutes kohls navy exchange near airport area quiet friendly low crime days got degrees overnight va building new hospital orlando expected open december</t>
  </si>
  <si>
    <t xml:space="preserve">I highly recommend Port Saint Lucie. It is currently ranked the number one place to live in Florida with the lowest crime rate in the state and a few years back the lowest crime rate in the country. It is a beautiful place to live with a mixture of all kinds of people. A specific area in that town in Sandpiper bay. Check it out. There is great schools including Lincoln Park Academy with is ranked top 20 for High school and middle school in the U.S. I would highly recommend this area to any up and coming family :)  </t>
  </si>
  <si>
    <t>highly recommend port saint lucie currently ranked number one place live florida lowest crime rate state years back lowest crime rate country beautiful place live mixture kinds people specific area town sandpiper bay check great schools including lincoln park academy ranked top high school middle school us would highly recommend area coming family</t>
  </si>
  <si>
    <t xml:space="preserve">Speaking of crime, I had more stuff stolen from me in the first year I lived in Florida than ten years living on the edge of the ghetto in downtown Baltimore.
</t>
  </si>
  <si>
    <t>speaking crime stuff stolen first year lived florida ten years living edge ghetto downtown baltimore</t>
  </si>
  <si>
    <t xml:space="preserve">Funny I've lived in south Florida for 24 years and have never had anything stolen from me. </t>
  </si>
  <si>
    <t>funny ive lived south florida years never anything stolen</t>
  </si>
  <si>
    <t>That's theft.</t>
  </si>
  <si>
    <t>thats theft</t>
  </si>
  <si>
    <t>That sounds like a drunk and/or pill situation, to fall asleep while committing a burglary.</t>
  </si>
  <si>
    <t>sounds like drunk andor pill situation fall asleep committing burglary</t>
  </si>
  <si>
    <t>Petty theft is a huge issue all over Florida.  Anything not locked up out of sight will disappear in short order.
Also, this is the worst time of year to go fossil hunting as the rivers are at their highest levels.  You really need to wait until at least January for the rivers to drain.  Now is a great time to make a one-way trip down river, though!</t>
  </si>
  <si>
    <t>petty theft huge issue florida anything locked sight disappear short order also worst time year go fossil hunting rivers highest levels really need wait least january rivers drain great time make oneway trip river though</t>
  </si>
  <si>
    <t>&gt;  it should not be a crime to be homeless,
That's fine. As long as they aren't in my neighborhood.</t>
  </si>
  <si>
    <t>crime homeless thats fine long arent neighborhood</t>
  </si>
  <si>
    <t xml:space="preserve">Palm beach has got to be the most lucrative looting spot. </t>
  </si>
  <si>
    <t>palm beach got lucrative looting spot</t>
  </si>
  <si>
    <t xml:space="preserve">They are not joking about the crime in Florida.  I've had more stuff stolen in the short time I have been living in a relatively nice section of Florida than I did in quite a number of years living in some of the worst Baltimore neighborhoods.
</t>
  </si>
  <si>
    <t>joking crime florida ive stuff stolen short time living relatively nice section florida quite number years living worst baltimore neighborhoods</t>
  </si>
  <si>
    <t xml:space="preserve">I live very close to mount dora, I can't imagine being afraid of crime there. </t>
  </si>
  <si>
    <t>live close mount dora cant imagine afraid crime</t>
  </si>
  <si>
    <t>Miami is the hit and run capital. I would avoid it or join up with the douchbag bikers for protection.</t>
  </si>
  <si>
    <t>miami hit run capital would avoid join douchbag bikers protection</t>
  </si>
  <si>
    <t xml:space="preserve">I'm from here. There are millions of pawn shops here. I'm sorry, but you are never going to see that thing again. Biscayne is a pretty high crime area. It sucks. Sorry. 
</t>
  </si>
  <si>
    <t>im millions pawn shops im sorry never going see thing biscayne pretty high crime area sucks sorry</t>
  </si>
  <si>
    <t>It looks like it's a high crime kind of place. Every time I drive through I try to be extra vigilant.</t>
  </si>
  <si>
    <t>looks like high crime kind place every time drive try extra vigilant</t>
  </si>
  <si>
    <t xml:space="preserve">Avoid South St Pete entirely. Look at the crime statistics online for that area. </t>
  </si>
  <si>
    <t>avoid south st pete entirely look crime statistics online area</t>
  </si>
  <si>
    <t xml:space="preserve">If we're gonna be honest here, very high crime rate. </t>
  </si>
  <si>
    <t>gon na honest high crime rate</t>
  </si>
  <si>
    <t>Spring Hill has cheap cost of living, low crime, and a laid back armosphere. I rather enjoy living here.
I will say it has absolutely nothing to do though. Very boring area, which is one of the reasons I like it so much.</t>
  </si>
  <si>
    <t>spring hill cheap cost living low crime laid back armosphere rather enjoy living say absolutely nothing though boring area one reasons like much</t>
  </si>
  <si>
    <t>Didnt know florida residents were so pro-crime.</t>
  </si>
  <si>
    <t>didnt know florida residents procrime</t>
  </si>
  <si>
    <t>Crime is pretty low in st pete i heard</t>
  </si>
  <si>
    <t>crime pretty low st pete heard</t>
  </si>
  <si>
    <t>There's a reason why it's cheaper even though it's right next door: far more crime.</t>
  </si>
  <si>
    <t>theres reason cheaper even though right next door far crime</t>
  </si>
  <si>
    <t xml:space="preserve">So. Much. Crime. </t>
  </si>
  <si>
    <t>much crime</t>
  </si>
  <si>
    <t>Hollywood really is so grungy and it’s getting worse. The people are getting worse, the crime, etc.</t>
  </si>
  <si>
    <t>hollywood really grungy getting worse people getting worse crime etc</t>
  </si>
  <si>
    <t>OK, but low crime, clean neighborhoods, and good fishing.</t>
  </si>
  <si>
    <t>ok low crime clean neighborhoods good fishing</t>
  </si>
  <si>
    <t>Port Charlotte. It's a little slower of a life style but rent is cheap and low crime rate. I'd also consider fort myers or cape coral</t>
  </si>
  <si>
    <t>port charlotte little slower life style rent cheap low crime rate id also consider fort myers cape coral</t>
  </si>
  <si>
    <t>"also highest levels of crime"</t>
  </si>
  <si>
    <t>also highest levels crime</t>
  </si>
  <si>
    <t>Data scientists will tell you crime levels are correlated to poverty, density, and inequality</t>
  </si>
  <si>
    <t>data scientists tell crime levels correlated poverty density inequality</t>
  </si>
  <si>
    <t>Wow that's absolutely shocking that there is more crime in cities. Who ever would have thought?</t>
  </si>
  <si>
    <t>wow thats absolutely shocking crime cities ever would thought</t>
  </si>
  <si>
    <t>Property damage is one thing. A threat is a threat no matter the intent. &amp; no you should never rely on police to protect you.</t>
  </si>
  <si>
    <t>property damage one thing threat threat matter intent never rely police protect</t>
  </si>
  <si>
    <t>This isn't murder. I'm sorry you lack the basic comprehension to understand that.</t>
  </si>
  <si>
    <t>isnt murder im sorry lack basic comprehension understand</t>
  </si>
  <si>
    <t>So was it the stolen car?</t>
  </si>
  <si>
    <t>We went to some local markets in Miami and the carts were all stolen from Publix and Winn-Dixie 😂</t>
  </si>
  <si>
    <t>went local markets miami carts stolen publix winndixie</t>
  </si>
  <si>
    <t>I watched one grab a fish out of the Halifax river and then stab it with its beak. Once the stabbing was done, it swallowed the thing whole. It was unnerving.</t>
  </si>
  <si>
    <t>watched one grab fish halifax river stab beak stabbing done swallowed thing whole unnerving</t>
  </si>
  <si>
    <t>Naples is a great place for families if you have the money to live there. Even more so if you can afford to live on the water or close to beach. It’s a nice community and has a lot less crime than most places in the country.</t>
  </si>
  <si>
    <t>naples great place families money live even afford live water close beach nice community lot less crime places country</t>
  </si>
  <si>
    <t>Move to Davenport, it is near Disney and there little crime</t>
  </si>
  <si>
    <t>move davenport near disney little crime</t>
  </si>
  <si>
    <t>I still wave to people, most of the time they look at me like Imma murder them in return. :-(</t>
  </si>
  <si>
    <t>still wave people time look like imma murder return</t>
  </si>
  <si>
    <t>Exactly.  
You don't need oversized trucks to pull most boats either.  Sadly a lot of people are buying larger vehicles to feel safe due to so many other vehicles being oversized.  
I drove a very small pickup(2000) for 10 years ... Mostly to bring my 5 surfboards to the beach to share with friends.  Then they all were stolen from the back while getting lunch on my way home.  That truck wasn't really bigger that most cars and I almost converted it to an EV.</t>
  </si>
  <si>
    <t>exactly dont need oversized trucks pull boats either sadly lot people buying larger vehicles feel safe due many vehicles oversized drove small pickup years mostly bring surfboards beach share friends stolen back getting lunch way home truck wasnt really bigger cars almost converted ev</t>
  </si>
  <si>
    <t>They have known this could have been an issue for a long time. But DeSantis puts profits over public safety. This is going to destroy the surrounding areas.</t>
  </si>
  <si>
    <t>known could issue long time desantis puts profits public safety going destroy surrounding areas</t>
  </si>
  <si>
    <t>Wow. That’s theft.</t>
  </si>
  <si>
    <t>wow thats theft</t>
  </si>
  <si>
    <t>Well at least looting and stealing will be a crime for looters now.   No more free stuff.</t>
  </si>
  <si>
    <t>well least looting stealing crime looters free stuff</t>
  </si>
  <si>
    <t>&gt; Only to the extent one considers self-defense to be “murder.” 
Only to the extent all of society considers self-defense to be “murder.” I fixed that for you.</t>
  </si>
  <si>
    <t>extent one considers selfdefense murder extent society considers selfdefense murder fixed</t>
  </si>
  <si>
    <t>I'd still recommend looking further inland in NC before moving to FL. Our legislature is borderline hostile to employees and renters, and crime in Tampa and Lakeland isn't exactly negligible either.</t>
  </si>
  <si>
    <t>id still recommend looking inland nc moving fl legislature borderline hostile employees renters crime tampa lakeland isnt exactly negligible either</t>
  </si>
  <si>
    <t>Also Florida’s murder capital</t>
  </si>
  <si>
    <t>also floridas murder capital</t>
  </si>
  <si>
    <t>Off with the murder capital of Florida</t>
  </si>
  <si>
    <t>murder capital florida</t>
  </si>
  <si>
    <t>You douchers have to stop pretending 2020 was "stolen"</t>
  </si>
  <si>
    <t>douchers stop pretending stolen</t>
  </si>
  <si>
    <t>The best thing I’ve noticed since moving north of Orlando is the much more supportive and helpful neighbors and community. The lower crime rates didn’t hurt either…</t>
  </si>
  <si>
    <t>best thing ive noticed since moving north orlando much supportive helpful neighbors community lower crime rates didnt hurt either</t>
  </si>
  <si>
    <t>Tampa, Miami, Jacksonville… every major city has higher crime. 
All-in-all, NJ is safer.</t>
  </si>
  <si>
    <t>tampa miami jacksonville every major city higher crime allinall nj safer</t>
  </si>
  <si>
    <t>Chicago is a wonderful city. Lower crime in my urban neighborhood than most of Florida. Even has beaches.  I moved for endless summer like most everyone else who comes to Florida does.</t>
  </si>
  <si>
    <t>chicago wonderful city lower crime urban neighborhood florida even beaches moved endless summer like everyone else comes florida</t>
  </si>
  <si>
    <t>I feel like every time I walk out of Publix that I have been robbed.</t>
  </si>
  <si>
    <t>feel like every time walk publix robbed</t>
  </si>
  <si>
    <t>Yeah well until you’ve witnessed a party go from fun/chill to a murder scene from 190 proof moonshine you haven’t a clue.</t>
  </si>
  <si>
    <t>yeah well youve witnessed party go funchill murder scene proof moonshine havent clue</t>
  </si>
  <si>
    <t>I live in Hollywood. Young Circle area. I've never been a victim of crime here. Downtown area fwiw.</t>
  </si>
  <si>
    <t>live hollywood young circle area ive never victim crime downtown area fwiw</t>
  </si>
  <si>
    <t>If you think you’ll miss the crime and traffic for no damn reason then Orlando is for you!</t>
  </si>
  <si>
    <t>think youll miss crime traffic damn reason orlando</t>
  </si>
  <si>
    <t>TAMPA ! Orlando has a lot of crime and soooo many tourists .</t>
  </si>
  <si>
    <t>tampa orlando lot crime soooo many tourists</t>
  </si>
  <si>
    <t>As someone who smells weed everytime I go for a walk here in SWFL, no one is treating it like a crime worse than fentanyl.</t>
  </si>
  <si>
    <t>someone smells weed everytime go walk swfl one treating like crime worse fentanyl</t>
  </si>
  <si>
    <t>I see a kidnapping in progress.</t>
  </si>
  <si>
    <t>see kidnapping progress</t>
  </si>
  <si>
    <t>Funny, considering FL has a significantly higher crime rate than PA.</t>
  </si>
  <si>
    <t>funny considering fl significantly higher crime rate pa</t>
  </si>
  <si>
    <t>I’m going to go with Duval.  We aren’t the murder capital of Florida for nothing.</t>
  </si>
  <si>
    <t>im going go duval arent murder capital florida nothing</t>
  </si>
  <si>
    <t>We murder more people in Duval. You get in more car accidents. We are not the same.</t>
  </si>
  <si>
    <t>murder people duval get car accidents</t>
  </si>
  <si>
    <t>He was probably smuggling in contraband.</t>
  </si>
  <si>
    <t>probably smuggling contraband</t>
  </si>
  <si>
    <t>Nah, Tampa isn’t the best place. Prices are high and crime is really high right now.</t>
  </si>
  <si>
    <t>nah tampa isnt best place prices high crime really high right</t>
  </si>
  <si>
    <t>My girlfriend that lived in Philly (near Temple) saw her neighbor shot, saw people robbed in broad daylight and went to sleep at night to the sound of dynamite from people trying to open ATMs in summer 2020. That’s PTSD. “Someone didn’t say thank you” or “someone didn’t let me in in traffic” is not PTSD.</t>
  </si>
  <si>
    <t>girlfriend lived philly near temple saw neighbor shot saw people robbed broad daylight went sleep night sound dynamite people trying open atms summer thats ptsd someone didnt say thank someone didnt let traffic ptsd</t>
  </si>
  <si>
    <t>The metro areas largely suck donkey balls right now but there are still some quieter suburban and exurban counties within 60 to 90 minutes of Orlando, Tampa, Jacksonville to consider.  I'd totally ignore South Florida.  It's a cesspool of crime and corruption and insanity.</t>
  </si>
  <si>
    <t>metro areas largely suck donkey balls right still quieter suburban exurban counties within minutes orlando tampa jacksonville consider id totally ignore south florida cesspool crime corruption insanity</t>
  </si>
  <si>
    <t>Yeah, at least in the Tamp area crime is pretty low. It isn't Philadelphia or something. Hell, in my neck of the woods they don't even have porch pirates.</t>
  </si>
  <si>
    <t>yeah least tamp area crime pretty low isnt philadelphia something hell neck woods dont even porch pirates</t>
  </si>
  <si>
    <t>Don’t do this. High crime and you can get robbed or worse.</t>
  </si>
  <si>
    <t>dont high crime get robbed worse</t>
  </si>
  <si>
    <t>High crime rate in cities in TN</t>
  </si>
  <si>
    <t>high crime rate cities tn</t>
  </si>
  <si>
    <t>It isn't anymore.  Downtown Orlando is having a lot of problems with crime and there are new checks in place.  Hardly anyone goes there anymore after dark.</t>
  </si>
  <si>
    <t>isnt anymore downtown orlando lot problems crime new checks place hardly anyone goes anymore dark</t>
  </si>
  <si>
    <t>The area around the banana river is murder though.</t>
  </si>
  <si>
    <t>area around banana river murder though</t>
  </si>
  <si>
    <t>I'm betting Starke has a fairly low crime rate.</t>
  </si>
  <si>
    <t>im betting starke fairly low crime rate</t>
  </si>
  <si>
    <t>Not long ago, Jax had a high murder / crime rate.  Haven’t check lately though.</t>
  </si>
  <si>
    <t>long ago jax high murder crime rate havent check lately though</t>
  </si>
  <si>
    <t>We live near there (Palm Coast) and I work there. The crime is nothing. Especially compared to Jax. Her and I laughed about it.</t>
  </si>
  <si>
    <t>live near palm coast work crime nothing especially compared jax laughed</t>
  </si>
  <si>
    <t>Your only hope is a very bad neighborhood in lauderhill or lauderdale lakes, and even then it’s a huge stretch. With that budget you should seek roommates</t>
  </si>
  <si>
    <t>hope bad neighborhood lauderhill lauderdale lakes even huge stretch budget seek roommates</t>
  </si>
  <si>
    <t>actually huntsville is all around low crime and pretty calm, i do recommend going to Lowe Mill if you get a chance, that place made my childhood amazing all on its own</t>
  </si>
  <si>
    <t>actually huntsville around low crime pretty calm recommend going lowe mill get chance place made childhood amazing</t>
  </si>
  <si>
    <t>Crystal Lake is high crime and meth.</t>
  </si>
  <si>
    <t>crystal lake high crime meth</t>
  </si>
  <si>
    <t>**Jacksonville:** Shootin’, looting’, killin’, race crimin.’</t>
  </si>
  <si>
    <t>jacksonville shootin looting killin race crimin</t>
  </si>
  <si>
    <t>If you want to see crime, come to Zephryhills. There is no way that crime is down.</t>
  </si>
  <si>
    <t>want see crime come zephryhills way crime</t>
  </si>
  <si>
    <t>Jacksonville is out of control with crime, I don’t blame you for wanting to leave</t>
  </si>
  <si>
    <t>jacksonville control crime dont blame wanting leave</t>
  </si>
  <si>
    <t>You may be right. I didn't know lake Worth was heavy with gang activity</t>
  </si>
  <si>
    <t>may right didnt know lake worth heavy gang activity</t>
  </si>
  <si>
    <t>No, not at all. I would definitely check out Zillow for crime statistics as some parts are rough, but it’s not as insane as Miami Beach is</t>
  </si>
  <si>
    <t>would definitely check zillow crime statistics parts rough insane miami beach</t>
  </si>
  <si>
    <t>I'm from Fargo and have been robbed on the high seas down here twice</t>
  </si>
  <si>
    <t>im fargo robbed high seas twice</t>
  </si>
  <si>
    <t>There is no information on the vehicle that hit him. Hit and run. I appreciate you taking the time to read,  thank you.</t>
  </si>
  <si>
    <t>information vehicle hit hit run appreciate taking time read thank</t>
  </si>
  <si>
    <t>Try doing a search on Zillow looking for your requirements.  If you find something interesting, google crime statistics for the area.  Pretty much any area outside downtown Jacksonville might work.   Your $2.2k will be the biggest limitation, but still possible to find in a safe neighborhood.</t>
  </si>
  <si>
    <t>try search zillow looking requirements find something interesting google crime statistics area pretty much area outside downtown jacksonville might work k biggest limitation still possible find safe neighborhood</t>
  </si>
  <si>
    <t>Murderville - Jacksonville there was a murder for every day of the month in January and exceeded the year before.</t>
  </si>
  <si>
    <t>murderville jacksonville murder every day month january exceeded year</t>
  </si>
  <si>
    <t>I don’t mind crowds and large populations. I am already in a city over populated with lots of traffic at all times of day and growing crime rates.</t>
  </si>
  <si>
    <t>dont mind crowds large populations already city populated lots traffic times day growing crime rates</t>
  </si>
  <si>
    <t>Jacksonville in many areas is largely unsafe. Major major crime problem. But the surrounding beaches are pretty awesome and very affordable compared to Miami. You'd definitely want to live on Jacksonville Beach or further south unless you want to risk getting shot.</t>
  </si>
  <si>
    <t>jacksonville many areas largely unsafe major major crime problem surrounding beaches pretty awesome affordable compared miami youd definitely want live jacksonville beach south unless want risk getting shot</t>
  </si>
  <si>
    <t>lot of stolen car striped n dumped; i see it 2 n from miami alot</t>
  </si>
  <si>
    <t>lot stolen car striped n dumped see n miami alot</t>
  </si>
  <si>
    <t>Lots of crime in rural areas of Red states compared to rural areas in Blue states.
Statistics prove it.</t>
  </si>
  <si>
    <t>lots crime rural areas red states compared rural areas blue states statistics prove</t>
  </si>
  <si>
    <t>Yep, I live here, very low bad crime area. No real issues here. 12 hours from south Florida.</t>
  </si>
  <si>
    <t>yep live low bad crime area real issues hours south florida</t>
  </si>
  <si>
    <t>I spent almost 30 years in Jax. The crime was/is so bad. Spreading from the Westside and Northside, all the way to the beaches. 
  I move to a very small town in NC. They had a record 2 murders so far this year.  When in Jax, it was at least 2 murders a day.
  I really don't miss Jax. It's going more downhill by the day.</t>
  </si>
  <si>
    <t>spent almost years jax crime wasis bad spreading westside northside way beaches move small town nc record murders far year jax least murders day really dont miss jax going downhill day</t>
  </si>
  <si>
    <t>i'm speaking more from experiencing Crestview and Fort Walton tbh. i worked in the really bad part of Fort Walton for about a year and a half. it was genuinely not safe to walk around that area after dark.</t>
  </si>
  <si>
    <t>not safe to walk</t>
  </si>
  <si>
    <t>im speaking experiencing crestview fort walton tbh worked really bad part fort walton year half genuinely safe walk around area dark</t>
  </si>
  <si>
    <t>At least they left you on block's, when my wheels were recently stolen, they damaged my vehicle on top of stealing my wheels.</t>
  </si>
  <si>
    <t>least left blocks wheels recently stolen damaged vehicle top stealing wheels</t>
  </si>
  <si>
    <t>New York</t>
  </si>
  <si>
    <t>That's actual robbery. 
I'm sorry. Really awful. Most people don't anticipate being robbed when they take out their wallets. And they go for easy prey - like kids.</t>
  </si>
  <si>
    <t>thats actual robbery im sorry really awful people dont anticipate robbed take wallets go easy prey like kids</t>
  </si>
  <si>
    <t>And yet crime continued to decline during BdB’s tenure.</t>
  </si>
  <si>
    <t>yet crime continued decline bdbs tenure</t>
  </si>
  <si>
    <t>law enforcement</t>
  </si>
  <si>
    <t>So basically…hello crime! 
Based on this, it looks like I’m going to end up leaving NYC in a few years.</t>
  </si>
  <si>
    <t>basicallyhello crime based looks like im going end leaving nyc years</t>
  </si>
  <si>
    <t>assault</t>
  </si>
  <si>
    <t>Crime is up in every city and state in the country, stop trying to make this a New York thing.</t>
  </si>
  <si>
    <t>crime every city state country stop trying make new york thing</t>
  </si>
  <si>
    <t>No, crime can be down in one month, doesn't mean it is down for the year as a whole.</t>
  </si>
  <si>
    <t>crime one month doesnt mean year whole</t>
  </si>
  <si>
    <t>First time seeing crime stats for a city of millions? Get off your sisters bed for a few minutes and try to see some of the world</t>
  </si>
  <si>
    <t>first time seeing crime stats city millions get sisters bed minutes try see world</t>
  </si>
  <si>
    <t>do you think that creating a hysteria about generally spiking crime rates that don’t actually exist and a general lack of safety that isn’t based in any fact hurts or helps in the effort to effectively target specific problems?</t>
  </si>
  <si>
    <t>think creating hysteria generally spiking crime rates dont actually exist general lack safety isnt based fact hurts helps effort effectively target specific problems</t>
  </si>
  <si>
    <t>sexual assault</t>
  </si>
  <si>
    <t>harassment</t>
  </si>
  <si>
    <t>&gt;Crime is out of control.  
[citation required]</t>
  </si>
  <si>
    <t>crime control citation required</t>
  </si>
  <si>
    <t>NEgative</t>
  </si>
  <si>
    <t>All we have to do to mitigate the crime spike is not have another pandemic.</t>
  </si>
  <si>
    <t>mitigate crime spike another pandemic</t>
  </si>
  <si>
    <t>police report</t>
  </si>
  <si>
    <t>Yes the junkies down the block are building an empire on stolen amazon packages that and having an ambulance visit pretty much everyday. bu-but NYC has never been better</t>
  </si>
  <si>
    <t>yes junkies block building empire stolen amazon packages ambulance visit pretty much everyday bubut nyc never better</t>
  </si>
  <si>
    <t>"Bed sheets stolen at knifepoint" happened a month or so ago.</t>
  </si>
  <si>
    <t>bed sheets stolen knifepoint happened month ago</t>
  </si>
  <si>
    <t>They didn't give anything, they returned stolen property.</t>
  </si>
  <si>
    <t>didnt give anything returned stolen property</t>
  </si>
  <si>
    <t>I think it’s a riot situation</t>
  </si>
  <si>
    <t>riot</t>
  </si>
  <si>
    <t>think riot situation</t>
  </si>
  <si>
    <t>prostitution</t>
  </si>
  <si>
    <t>I think the city would riot at this point.</t>
  </si>
  <si>
    <t>think city would riot point</t>
  </si>
  <si>
    <t>homicide</t>
  </si>
  <si>
    <t>There are 8 million people in NYC. One CCTV video of one crime doesn't tell you anything about a city's crime rate except that it's &gt;0.</t>
  </si>
  <si>
    <t>million people nyc one cctv video one crime doesnt tell anything citys crime rate except</t>
  </si>
  <si>
    <t>my guess is the 2 men were kidnapping for organized crime. possibly their own family held hostage if they don't ?</t>
  </si>
  <si>
    <t>guess men kidnapping organized crime possibly family held hostage dont</t>
  </si>
  <si>
    <t>So the only acceptable crime rate in a population is zero? Frequency in a population doesn’t matter?
I wonder, what’s the overlap of people who think “crime in NYC is a huge problem unless it’s absolutely zero” and “covid isn’t a problem even if people are dying from it every single day”? 
Probably a nice round circle.</t>
  </si>
  <si>
    <t>acceptable crime rate population zero frequency population doesnt matter wonder whats overlap people think crime nyc huge problem unless absolutely zero covid isnt problem even people dying every single day probably nice round circle</t>
  </si>
  <si>
    <t>This, poverty and crime are linked. More poverty = more crime</t>
  </si>
  <si>
    <t>poverty crime linked poverty crime</t>
  </si>
  <si>
    <t>Nothing eliminates crime. And very few policies are going to drastically reduce it overnight, including more police.
But there's a lot of things that can make things slightly better and slightly worse, and most of it takes time.</t>
  </si>
  <si>
    <t>nothing eliminates crime policies going drastically reduce overnight including police theres lot things make things slightly better slightly worse takes time</t>
  </si>
  <si>
    <t>Manhattan is the center of crime in NYC in  the daytime it's fine at night you are asking for trouble.</t>
  </si>
  <si>
    <t>manhattan center crime nyc daytime fine night asking trouble</t>
  </si>
  <si>
    <t>Small increases in the crime rate have a ripple effect. For each person who's the victim of a crime like this, there's exponentially more people who know someone who's the victim of a crime like this. Victim gets mugged, tells all her friends, who tell their friends, and suddenly random mugging is a a new part of a few dozen people's world.</t>
  </si>
  <si>
    <t>small increases crime rate ripple effect person whos victim crime like theres exponentially people know someone whos victim crime like victim gets mugged tells friends tell friends suddenly random mugging new part dozen peoples world</t>
  </si>
  <si>
    <t>I’ve heard crime/safety issues.</t>
  </si>
  <si>
    <t>ive heard crimesafety issues</t>
  </si>
  <si>
    <t>By ‘higher crime areas’ they mean ‘higher crime but also only have white residents.’</t>
  </si>
  <si>
    <t>higher crime areas mean higher crime also white residents</t>
  </si>
  <si>
    <t>This sub thinks crime doesn’t actually exist in nyc</t>
  </si>
  <si>
    <t>sub thinks crime doesnt actually exist nyc</t>
  </si>
  <si>
    <t>Whats an old man in a beret going to do to stop an assault, ask politely to stop?</t>
  </si>
  <si>
    <t>whats old man beret going stop assault ask politely stop</t>
  </si>
  <si>
    <t>Eh words are words,and fists are fists. Regardless this is assault.</t>
  </si>
  <si>
    <t>eh words wordsand fists fists regardless assault</t>
  </si>
  <si>
    <t>Looks like assault</t>
  </si>
  <si>
    <t>looks like assault</t>
  </si>
  <si>
    <t>nypd should stop the harassment</t>
  </si>
  <si>
    <t>nypd stop harassment</t>
  </si>
  <si>
    <t>This is bullshit and harassment.</t>
  </si>
  <si>
    <t>bullshit harassment</t>
  </si>
  <si>
    <t>assaulted</t>
  </si>
  <si>
    <t>Felony murder.</t>
  </si>
  <si>
    <t>felony murder</t>
  </si>
  <si>
    <t>murder, attempted murder</t>
  </si>
  <si>
    <t>inner city crime *is* out of control. most cities in developed countries arent like this.</t>
  </si>
  <si>
    <t>inner city crime control cities developed countries arent like</t>
  </si>
  <si>
    <t>Yeah so they can assault and kill people inside the cars too.</t>
  </si>
  <si>
    <t>yeah assault kill people inside cars</t>
  </si>
  <si>
    <t>You’re celebrating someone getting assaulted over a subway fare.</t>
  </si>
  <si>
    <t>youre celebrating someone getting assaulted subway fare</t>
  </si>
  <si>
    <t>That's a good point, it's like do you control the behavior of millions of people or do you control the behavior of a select few criminals who are committing most inner-city murders?
You're always going to have idiots not wearing masks or not getting vaccinated (go ahead and take a look at which populations don't get vaccinated -- it's not white people!) but at least you can stop murder by going to the source and stopping a few key players related to gangs or otherwise.</t>
  </si>
  <si>
    <t>thats good point like control behavior millions people control behavior select criminals committing innercity murders youre always going idiots wearing masks getting vaccinated go ahead take look populations dont get vaccinated white people least stop murder going source stopping key players related gangs otherwise</t>
  </si>
  <si>
    <t>harassment, sexual harassment</t>
  </si>
  <si>
    <t>Good thing the cops stopped this assault</t>
  </si>
  <si>
    <t>good thing cops stopped assault</t>
  </si>
  <si>
    <t>And still crime is increasing</t>
  </si>
  <si>
    <t>still crime increasing</t>
  </si>
  <si>
    <t>Was robbed at knife point walking home from the train after school almost 15 years ago. They followed me from the train. Had i been driven home that wouldn’t have happened</t>
  </si>
  <si>
    <t>robbed knife point walking home train school almost years ago followed train driven home wouldnt happened</t>
  </si>
  <si>
    <t>With the rise of crime its worth it.</t>
  </si>
  <si>
    <t>rise crime worth</t>
  </si>
  <si>
    <t>You've had your luggage stolen on the A?</t>
  </si>
  <si>
    <t>youve luggage stolen</t>
  </si>
  <si>
    <t>Cool essay. Crime continues to generally drop.</t>
  </si>
  <si>
    <t>cool essay crime continues generally drop</t>
  </si>
  <si>
    <t>Nah that was a stabbing down the lane</t>
  </si>
  <si>
    <t>nah stabbing lane</t>
  </si>
  <si>
    <t>attempted murder</t>
  </si>
  <si>
    <t>Drunk, left scene will report stolen</t>
  </si>
  <si>
    <t>drunk left scene report stolen</t>
  </si>
  <si>
    <t>Find and charge with attempt murder</t>
  </si>
  <si>
    <t>find charge attempt murder</t>
  </si>
  <si>
    <t>So vandalism.</t>
  </si>
  <si>
    <t>Attempted murder.</t>
  </si>
  <si>
    <t>That should be a crime.</t>
  </si>
  <si>
    <t>Felony theft.</t>
  </si>
  <si>
    <t>felony theft</t>
  </si>
  <si>
    <t>robbed, assaulted</t>
  </si>
  <si>
    <t>crime, harassment</t>
  </si>
  <si>
    <t>police report, stolen</t>
  </si>
  <si>
    <t>robbery, assault</t>
  </si>
  <si>
    <t>assault, aggravated assault</t>
  </si>
  <si>
    <t>crime, murder, stabbing</t>
  </si>
  <si>
    <t>assault, police report</t>
  </si>
  <si>
    <t>homeless crime</t>
  </si>
  <si>
    <t>She's going to get physically assaulted if she keeps going that. People are crazy about their cars</t>
  </si>
  <si>
    <t>shes going get physically assaulted keeps going people crazy cars</t>
  </si>
  <si>
    <t>It smells like marijuana everywhere in the city. It’s loud. The taxes are insane. The crime is an actual issue.</t>
  </si>
  <si>
    <t>smells like marijuana everywhere city loud taxes insane crime actual issue</t>
  </si>
  <si>
    <t>Trash everywhere, high crime rate, streets smell like gasoline and urine, and everything is expensive.</t>
  </si>
  <si>
    <t>trash everywhere high crime rate streets smell like gasoline urine everything expensive</t>
  </si>
  <si>
    <t>The crime rate in NYC is much lower than Baltimore so you will find plenty of apartments here without bars on windows.  It's up to you if you think this is a problem, as there are also a ton of buildings that  have them.</t>
  </si>
  <si>
    <t>crime rate nyc much lower baltimore find plenty apartments without bars windows think problem also ton buildings</t>
  </si>
  <si>
    <t>Open your windows a little from the top. No one is going to climb in and randomly murder you, anyway.</t>
  </si>
  <si>
    <t>open windows little top one going climb randomly murder anyway</t>
  </si>
  <si>
    <t>Yes if Queens is an option, avoid Bed-Stuy and definitely avoid East New York (Brooklyn) for personal safety reasons if you are new to the city. Look at crime stats as a reference if nothing more.</t>
  </si>
  <si>
    <t>yes queens option avoid bedstuy definitely avoid east new york brooklyn personal safety reasons new city look crime stats reference nothing</t>
  </si>
  <si>
    <t>Shelters are also very unsafe and people get their few possessions stolen there. And they are not long term solutions.</t>
  </si>
  <si>
    <t>shelters also unsafe people get possessions stolen long term solutions</t>
  </si>
  <si>
    <t>If you want to live somewhere that doesn’t change and is stagnant - DON’T LIVE IN NEW YORK CITY. This has always been true. But if you’re gonna stay understand that crime moves and while your neighborhood may be safe now it can change within a few years. Has nothing to do with politics, etc.</t>
  </si>
  <si>
    <t>want live somewhere doesnt change stagnant dont live new york city always true youre gon na stay understand crime moves neighborhood may safe change within years nothing politics etc</t>
  </si>
  <si>
    <t>The crime gets worse the further south and east you go, but it’s overall not that bad to begin with. The main concern with living in Chinatown are probably pests. Old buildings cramped together + tons of restaurants = more pest problems than other neighborhoods.</t>
  </si>
  <si>
    <t>crime gets worse south east go overall bad begin main concern living chinatown probably pests old buildings cramped together tons restaurants pest problems neighborhoods</t>
  </si>
  <si>
    <t>Right. Knee jerk cynicism against the police is not helpful. The police aren’t good with helping poor minority victims of crime in deprived areas. But tourists in a Manhattan hotel? They will teleport there to help them!</t>
  </si>
  <si>
    <t>right knee jerk cynicism police helpful police arent good helping poor minority victims crime deprived areas tourists manhattan hotel teleport help</t>
  </si>
  <si>
    <t>File a police report asap that’s assault</t>
  </si>
  <si>
    <t>file police report asap thats assault</t>
  </si>
  <si>
    <t>„A mother with children who is struggling“ is not someone trying to rent cheap in manhattan. A mother struggling is living in high crime area fighting being able to pay rent. They can move to cheaper places which suit their standards and abilities if she‘s not able to afford Manhattan!</t>
  </si>
  <si>
    <t>mother children struggling someone trying rent cheap manhattan mother struggling living high crime area fighting able pay rent move cheaper places suit standards abilities shes able afford manhattan</t>
  </si>
  <si>
    <t>Sorry that’s crazy. Lived here 10 years and have only been assaulted once (attacked by a stranger for absolutely no reason, unprovoked, got some teeth broken). That’s terrible luck. Glad you got out unscathed! I hope your weekend gets better!</t>
  </si>
  <si>
    <t>sorry thats crazy lived years assaulted attacked stranger absolutely reason unprovoked got teeth broken thats terrible luck glad got unscathed hope weekend gets better</t>
  </si>
  <si>
    <t>Nah, you were right to not escalate physically. Dude is clearly not right in the head and it's not worth risking a stabbing.</t>
  </si>
  <si>
    <t>nah right escalate physically dude clearly right head worth risking stabbing</t>
  </si>
  <si>
    <t>You were mugged but got away. He wasn't a begger he was a criminal. I'm sorry this happened. File a police report online.
You got out alive, that's doing the right thing.</t>
  </si>
  <si>
    <t>mugged got away wasnt begger criminal im sorry happened file police report online got alive thats right thing</t>
  </si>
  <si>
    <t>I would have pepper sprayed him and let the police deal with it later. He touched you and that's enough to file assault charges.</t>
  </si>
  <si>
    <t>would pepper sprayed let police deal later touched thats enough file assault charges</t>
  </si>
  <si>
    <t>Ok. I’d say the odds of an MTA employee stabbing someone while in uniform and on the clock in broad daylight in front of lots of people are pretty slim, but I guess there’s always the chance.</t>
  </si>
  <si>
    <t>ok id say odds mta employee stabbing someone uniform clock broad daylight front lots people pretty slim guess theres always chance</t>
  </si>
  <si>
    <t>We had the "worst crime in a decade" during the pandemic, but some people really like to leave out the part where that decade was the safest in the city's history. New York remains one of the safest big cities in the world.</t>
  </si>
  <si>
    <t>worst crime decade pandemic people really like leave part decade safest citys history new york remains one safest big cities world</t>
  </si>
  <si>
    <t>Careful, I was at one of those and it got robbed at gunpoint. A couple of people were even shot.</t>
  </si>
  <si>
    <t>careful one got robbed gunpoint couple people even shot</t>
  </si>
  <si>
    <t>&gt;crime is bad lately
nyc is statistically one of the safest cities in the entire world</t>
  </si>
  <si>
    <t>crime bad lately nyc statistically one safest cities entire world</t>
  </si>
  <si>
    <t>Yeah, that’s the Brooklyn Chinatown. It’s a pretty safe neighborhood. I mean there was a stabbing there last year but it’s no East New York (the area with the highest crime/murder rate). 
That area is a bitch to get to the subway though. One suggestion is to stay in Sunset Park which is a couple of avenues over. The N train stops at 59th street and 4th avenue which would be an express train to the city. OR stay closer to the 9 train stop on the D. You weren’t that far before (48th and 9th) but yeah, it’s a bit of a walk.</t>
  </si>
  <si>
    <t>yeah thats brooklyn chinatown pretty safe neighborhood mean stabbing last year east new york area highest crimemurder rate area bitch get subway though one suggestion stay sunset park couple avenues n train stops th street th avenue would express train city stay closer train stop werent far th th yeah bit walk</t>
  </si>
  <si>
    <t>It's not about phone theft, it's about getting in people's way. Don't stop in the middle of the sidewalk to do ______ applied to anything.</t>
  </si>
  <si>
    <t>phone theft getting peoples way dont stop middle sidewalk applied anything</t>
  </si>
  <si>
    <t>Midtown South has the highest crime rate of any precinct in the city. That's the one that covers Times Square and Penn.</t>
  </si>
  <si>
    <t>midtown south highest crime rate precinct city thats one covers times square penn</t>
  </si>
  <si>
    <t>The crime numbers for midtown are very misleading. The way they measure the crime rate is crimes per x number of residents. So when you've got a neighborhood like Midtown that tons of people go through, but not very many people actually live, the crime rate is inevitably going to be exaggerated. Midtown is one of the safest places you can be in the city.</t>
  </si>
  <si>
    <t>crime numbers midtown misleading way measure crime rate crimes per x number residents youve got neighborhood like midtown tons people go many people actually live crime rate inevitably going exaggerated midtown one safest places city</t>
  </si>
  <si>
    <t>Avoid 60th street to 20th street in Manhattan at all costs — hell’s kitchen, midtown, times square, and 5th avenue are genuinely the worst neighborhoods in New York, yet for some reason they attract 95% of tourists. They’re also the highest crime per capita precincts in manhattan.  
Any other neighborhood in NYC is more interesting to visit.</t>
  </si>
  <si>
    <t>avoid th street th street manhattan costs hells kitchen midtown times square th avenue genuinely worst neighborhoods new york yet reason attract tourists theyre also highest crime per capita precincts manhattan neighborhood nyc interesting visit</t>
  </si>
  <si>
    <t>I've heard a dozen people say they've stopped riding the subways this year due to crime. I maybe heard that once ever in the ten years prior.</t>
  </si>
  <si>
    <t>ive heard dozen people say theyve stopped riding subways year due crime maybe heard ever ten years prior</t>
  </si>
  <si>
    <t>Oh sexual assault makes it a ok. I would be terrified if I was a woman and some random guy pulled his junk out across from me while I was trapped in a moving subway car.</t>
  </si>
  <si>
    <t>oh sexual assault makes ok would terrified woman random guy pulled junk across trapped moving subway car</t>
  </si>
  <si>
    <t>It's a filthy, high crime, super expensive insane asylum. It's not at all how it's portrayed in Hollywood movies</t>
  </si>
  <si>
    <t>filthy high crime super expensive insane asylum portrayed hollywood movies</t>
  </si>
  <si>
    <t>And I got robbed there once!</t>
  </si>
  <si>
    <t>I agree, no one wants their kids harassed unnecessarily.  Or getting shot (which isn’t a NYC phenomenon so why claim falsehoods).
But wavegang, rockstars, woodcity, brims, trinitarios, goonies, gstone and tons of popular gangs have been wildly successful at recruiting in our poorer neighborhoods and those kids need engagement and yep stopping and questioning them about stuff when they’re actively engaging or getting ready to commit a crime is exactly what we want.  What most NY’ers want and what the mostly minority communities in NYC voted for as well.</t>
  </si>
  <si>
    <t>agree one wants kids harassed unnecessarily getting shot isnt nyc phenomenon claim falsehoods wavegang rockstars woodcity brims trinitarios goonies gstone tons popular gangs wildly successful recruiting poorer neighborhoods kids need engagement yep stopping questioning stuff theyre actively engaging getting ready commit crime exactly want nyers want mostly minority communities nyc voted well</t>
  </si>
  <si>
    <t>It was stolen from your property so probably, reach out to your broker.</t>
  </si>
  <si>
    <t>stolen property probably reach broker</t>
  </si>
  <si>
    <t>Meh, I was sexually assaulted by an elderly waiter at Avenue A Odessa in 2017. I was really drunk after the bars closed and he thought I wouldn’t notice if he groped me up and down. Twice. Fuck that place.</t>
  </si>
  <si>
    <t>meh sexually assaulted elderly waiter avenue odessa really drunk bars closed thought wouldnt notice groped twice fuck place</t>
  </si>
  <si>
    <t>Stolen phone, Allstate. During the claim call they asked for all the items that were in the case (license, money, metrocards, etc which I wouldn’t have even thought to claim). I replaced the phone and case and sent the receipts for the new ones and I had direct deposit the following day. Easy peasy.</t>
  </si>
  <si>
    <t>stolen phone allstate claim call asked items case license money metrocards etc wouldnt even thought claim replaced phone case sent receipts new ones direct deposit following day easy peasy</t>
  </si>
  <si>
    <t>The murder rate is what scares most tourists.</t>
  </si>
  <si>
    <t>murder rate scares tourists</t>
  </si>
  <si>
    <t>I’ve seen anti-Asian racism in Crown Heights and Bed-Stuy. It’s not unique to NYC either, as I’ve also seen it in Detroit.
It’s always been verbal harassment/menacing. Never seen anything physical, though.</t>
  </si>
  <si>
    <t>ive seen antiasian racism crown heights bedstuy unique nyc either ive also seen detroit always verbal harassmentmenacing never seen anything physical though</t>
  </si>
  <si>
    <t>I’m an Asian American female who’s lived in NYC for the past twenty years. The kind of racism you are going to encounter is almost always going to go hand-in-hand with sexism. That said, most of what I experienced came from clearly mentally unstable people or teenagers, and I rarely felt unsafe. These days I don’t leave my neighborhood much so I can’t say what it’s like in the rest of the city. I would do whatever you need to feel safe, like taking a self-defense course, but don’t let that keep you from taking advantage of what the city has to offer.</t>
  </si>
  <si>
    <t>im asian american female whos lived nyc past twenty years kind racism going encounter almost always going go handinhand sexism said experienced came clearly mentally unstable people teenagers rarely felt unsafe days dont leave neighborhood much cant say like rest city would whatever need feel safe like taking selfdefense course dont let keep taking advantage city offer</t>
  </si>
  <si>
    <t>The crime is worse now than before. DeBlasio made the city hell. I have hope for Adams, but lets see. That being said, tap and go on the subway is something that we did not have ten years ago.</t>
  </si>
  <si>
    <t>crime worse deblasio made city hell hope adams lets see said tap go subway something ten years ago</t>
  </si>
  <si>
    <t>Crime is up, homeless up, mental health seems to be ignored by the people who run the city, rent up, prosecutors dont prosecute, illegal dirt bikes everywhere, syringes on the sidewalk.</t>
  </si>
  <si>
    <t>crime homeless mental health seems ignored people run city rent prosecutors dont prosecute illegal dirt bikes everywhere syringes sidewalk</t>
  </si>
  <si>
    <t>It's a fine area- low crime, near the water (so cool in summertime) but a schlep from Manhattan and the "hip" parts of Brooklyn.</t>
  </si>
  <si>
    <t>fine area low crime near water cool summertime schlep manhattan hip parts brooklyn</t>
  </si>
  <si>
    <t>The city was in lockdown most of 2020. Major felonies were over 100,000 last year. Felonies assault, which is the most telling stat, was the highest it's been since 2001.</t>
  </si>
  <si>
    <t>city lockdown major felonies last year felonies assault telling stat highest since</t>
  </si>
  <si>
    <t>What you've described is sexual harassment. Get him out of there now! It will only escalate until you are in danger.</t>
  </si>
  <si>
    <t>youve described sexual harassment get escalate danger</t>
  </si>
  <si>
    <t>Report. This is sexual harassment. Could escalate, you want a paper trail.</t>
  </si>
  <si>
    <t>report sexual harassment could escalate want paper trail</t>
  </si>
  <si>
    <t>Hunts Point is a nasty area.  Not much there that is not burnt up or crime ridden.  Couldn't pay me to live there.</t>
  </si>
  <si>
    <t>hunts point nasty area much burnt crime ridden couldnt pay live</t>
  </si>
  <si>
    <t>I often feel bad about the people who had to witness that fatal vehicular homicide outside those private apartments and bar in Long Island that wound up getting raided and closing, I think it was in Lindenhurst..</t>
  </si>
  <si>
    <t>often feel bad people witness fatal vehicular homicide outside private apartments bar long island wound getting raided closing think lindenhurst</t>
  </si>
  <si>
    <t>I know you posted this several days ago but wanted to share that my neighborhood in Brooklyn has been experiencing ongoing issues with mail tampering and theft by Post Office staff. I'd strongly encourage you to report your case to Congresswoman Nydia Velázquez (D-NY) for follow up. 
The first few times this happened to me I didn't do much and it's disheartening to try to get any traction at the post office itself, but your representative should hear about it so that there is some pressure to investigate. 
Feel free to PM me if you want an email contact at the office.</t>
  </si>
  <si>
    <t>know posted several days ago wanted share neighborhood brooklyn experiencing ongoing issues mail tampering theft post office staff id strongly encourage report case congresswoman nydia velzquez dny follow first times happened didnt much disheartening try get traction post office representative hear pressure investigate feel free pm want email contact office</t>
  </si>
  <si>
    <t>The drop in crime in NYC was mirrored in several other cities all over the country at the same time.  So not sure it was any specific policy adopted here</t>
  </si>
  <si>
    <t>drop crime nyc mirrored several cities country time sure specific policy adopted</t>
  </si>
  <si>
    <t>My friend had 2 guys try to Rob her in morningside and never reported it so yeah not reporting happens</t>
  </si>
  <si>
    <t>friend guys try rob morningside never reported yeah reporting happens</t>
  </si>
  <si>
    <t>Don't walk around that neighborhood at night with luggage, either. That's a robbery waiting to happen.</t>
  </si>
  <si>
    <t>dont walk around neighborhood night luggage either thats robbery waiting happen</t>
  </si>
  <si>
    <t>You can get a room for less than 80$ on hotel tonight app. It's not worth the risk. You'll get robbed or assaulted.</t>
  </si>
  <si>
    <t>get room less hotel tonight app worth risk youll get robbed assaulted</t>
  </si>
  <si>
    <t>I have been here 12 years and not yet seen any crime. I lead a blessed life (so far)</t>
  </si>
  <si>
    <t>years yet seen crime lead blessed life far</t>
  </si>
  <si>
    <t>Brownsville is one of the top two or three poorest, highest crime neighborhoods in the city routinely and has been for decades.</t>
  </si>
  <si>
    <t>brownsville one top two three poorest highest crime neighborhoods city routinely decades</t>
  </si>
  <si>
    <t>There are way way way better neighborhoods to stay in. The 4 does not run great and overall that neighborhood has a pretty high amount of crime</t>
  </si>
  <si>
    <t>way way way better neighborhoods stay run great overall neighborhood pretty high amount crime</t>
  </si>
  <si>
    <t>Same! Ordered day one haven't got anything! I was thinking they sent it without notifying me and mine got stolen tbh</t>
  </si>
  <si>
    <t>ordered day one havent got anything thinking sent without notifying mine got stolen tbh</t>
  </si>
  <si>
    <t>Definitely skewed. Crime is up, but it's up around the entire nation. I sent him back statistics from our home town that are essentially the same increase rates</t>
  </si>
  <si>
    <t>definitely skewed crime around entire nation sent back statistics home town essentially increase rates</t>
  </si>
  <si>
    <t>I guess it depends on what you compare it to and how you measure crime, safety, etc.
Generally more gentrified is considered more safe, east of Bedford Ave, but there's no way to really know. What crimes are there that are unreported? Who reports crimes, who gets a response when they call police, etc.</t>
  </si>
  <si>
    <t>guess depends compare measure crime safety etc generally gentrified considered safe east bedford ave theres way really know crimes unreported reports crimes gets response call police etc</t>
  </si>
  <si>
    <t>I live in that area. Lots of street harassment in the summer. Been followed twice</t>
  </si>
  <si>
    <t>live area lots street harassment summer followed twice</t>
  </si>
  <si>
    <t>Be a stone rock. Do not acknowledge. I mean, how many stories do you need of innocent people being assaulted for no reason on the subway??? If someone is crazy enough to engage you like that, they're capable of *anything*.</t>
  </si>
  <si>
    <t>stone rock acknowledge mean many stories need innocent people assaulted reason subway someone crazy enough engage like theyre capable anything</t>
  </si>
  <si>
    <t>Do you own a car? Only thing I can think off is along utopia tpke and grand central Parkway, prime rim theft areas</t>
  </si>
  <si>
    <t>car thing think along utopia tpke grand central parkway prime rim theft areas</t>
  </si>
  <si>
    <t>The issue though is look on Citizen app. it's fucking rampant.
&amp;#x200B;
Knife attack in the Metro Deli on Schermerhron. Robbery across the street from 11 Hoyt. Assaults.</t>
  </si>
  <si>
    <t>issue though look citizen app fucking rampant xb knife attack metro deli schermerhron robbery across street hoyt assaults</t>
  </si>
  <si>
    <t>Also crime statistics are so inherently noisy that looking at year-to-date numbers in early February doesn't seem like all that great a data set, especially when you're cherry picking precinct-level data.</t>
  </si>
  <si>
    <t>also crime statistics inherently noisy looking yeartodate numbers early february doesnt seem like great data set especially youre cherry picking precinctlevel data</t>
  </si>
  <si>
    <t>I lived here, moved to a nearby big city for work for a few years, will be back in NYC next year (permanently). Born and raised in the burbs though. 
For what it's worth, this sub seems to have more locals than r/nyc, which seems to be entirely NY Post articles and hand wringing about crime.</t>
  </si>
  <si>
    <t>lived moved nearby big city work years back nyc next year permanently born raised burbs though worth sub seems locals rnyc seems entirely ny post articles hand wringing crime</t>
  </si>
  <si>
    <t>It's all relative. The crime right now is equivalent to a time earlier in the 21st century when locals would declare, "it's never been safer in NYC". To put it another way, it's nothing like crime during NYC's worst era (1970-1995), and NYC is still the safest big city in the nation (crime rose here at roughly the same pace as the rest of the nation during the pandemic).</t>
  </si>
  <si>
    <t>relative crime right equivalent time earlier st century locals would declare never safer nyc put another way nothing like crime nycs worst era nyc still safest big city nation crime rose roughly pace rest nation pandemic</t>
  </si>
  <si>
    <t>The crime is unbearable. I am currently being stabbed to death for the sixth time in a year.</t>
  </si>
  <si>
    <t>crime unbearable currently stabbed death sixth time year</t>
  </si>
  <si>
    <t>Crime was insanely low for the last 20 years. It isn't as bad as they make it out to be.</t>
  </si>
  <si>
    <t>crime insanely low last years isnt bad make</t>
  </si>
  <si>
    <t>You ABSOLUTELY need to call 911. I hope someone had the common sense to at least do this for this poor woman. Also, people unfortunately need to start fighting back. If we see someone being assaulted, we need to speak up, yell at the assaulter, and intervene if possible. The cops can't prevent crimes in action. They can only respond to them. It's up to the citizens to step in and stop this bullshit.</t>
  </si>
  <si>
    <t>absolutely need call hope someone common sense least poor woman also people unfortunately need start fighting back see someone assaulted need speak yell assaulter intervene possible cops cant prevent crimes action respond citizens step stop bullshit</t>
  </si>
  <si>
    <t>We’re still safer than Salt Lake City! I think that achieves the desired impact.
Also people seem to forget that crime has gone up everywhere, so going up in NYC doesn’t mean much relative increase when compared to the country as a whole.</t>
  </si>
  <si>
    <t>still safer salt lake city think achieves desired impact also people seem forget crime gone everywhere going nyc doesnt mean much relative increase compared country whole</t>
  </si>
  <si>
    <t>Literally go look up Chinatown stabbing. It happened a few days ago</t>
  </si>
  <si>
    <t>literally go look chinatown stabbing happened days ago</t>
  </si>
  <si>
    <t>spitting on someone is assault. Call the police. It happens and it happened to me</t>
  </si>
  <si>
    <t>spitting someone assault call police happens happened</t>
  </si>
  <si>
    <t>If you're not Asian, don't fucking reply with shit like this. Asian elders and females are being targeted left and right. I don't even know why I'm replying to this since most of the responses on these subs are out of touch but Christina Lee's murder is the final straw.</t>
  </si>
  <si>
    <t>youre asian dont fucking reply shit like asian elders females targeted left right dont even know im replying since responses subs touch christina lees murder final straw</t>
  </si>
  <si>
    <t>Murder is legal in the state of California</t>
  </si>
  <si>
    <t>murder legal state california</t>
  </si>
  <si>
    <t>negative</t>
  </si>
  <si>
    <t>Stop harassing her, dude. This is considered sexual harassment and you're an idiot to link yourself to these leaked images.</t>
  </si>
  <si>
    <t>stop harassing dude considered sexual harassment youre idiot link leaked images</t>
  </si>
  <si>
    <t>NYPD makes me sick, as does Diblasio. This is how mob based corruption endures forever. Remember that it’s our tax money that makes this city run, not them.... also when these assholes stopped doing their jobs, crime continued to go down.</t>
  </si>
  <si>
    <t>nypd makes sick diblasio mob based corruption endures forever remember tax money makes city run also assholes stopped jobs crime continued go</t>
  </si>
  <si>
    <t>there is a very simple way to avoid having issues like this with the police, do not get in their face, do not verbally assault police, do not physically assault police. ez peezy. problem solved.</t>
  </si>
  <si>
    <t>simple way avoid issues like police get face verbally assault police physically assault police ez peezy problem solved</t>
  </si>
  <si>
    <t>So all those scenes in movies where someone hacks into the traffic grid to pull off a crime, that's actually possible?</t>
  </si>
  <si>
    <t>scenes movies someone hacks traffic grid pull crime thats actually possible</t>
  </si>
  <si>
    <t>He would’ve been deported by now but he’s in jail awaiting a federal murder charge.
You have no idea what you’re talking about.</t>
  </si>
  <si>
    <t>wouldve deported hes jail awaiting federal murder charge idea youre talking</t>
  </si>
  <si>
    <t>I assume you're from near Floral Park?
I know people who have been robbed by residents of those homeless shelter hotels.</t>
  </si>
  <si>
    <t>assume youre near floral park know people robbed residents homeless shelter hotels</t>
  </si>
  <si>
    <t>You joke, but people at my company routinely email or call the CIO for things like frozen computer or a broken keyboard. Wouldn't be surprised if these same people would do this with law enforcement too.</t>
  </si>
  <si>
    <t>joke people company routinely email call cio things like frozen computer broken keyboard wouldnt surprised people would law enforcement</t>
  </si>
  <si>
    <t>So what you're saying is we need to reinstate the assault weapons ban. Got it.</t>
  </si>
  <si>
    <t>youre saying need reinstate assault weapons ban got</t>
  </si>
  <si>
    <t>It's a stolen Citibike painted black.</t>
  </si>
  <si>
    <t>stolen citibike painted black</t>
  </si>
  <si>
    <t xml:space="preserve">Murder... sheesh. I can almost empathize. One night I was sick and hearing my neighbors party into the early morning approaching 6am. In the midst of sleep deprivation, the worst I thought of was how to possibly break in and put a scissor to their stereo wire.  But murder.... </t>
  </si>
  <si>
    <t>murder sheesh almost empathize one night sick hearing neighbors party early morning approaching midst sleep deprivation worst thought possibly break put scissor stereo wire murder</t>
  </si>
  <si>
    <t xml:space="preserve">I'd say even keeping the city safe isn't his accomplishment either 
it was Bloomberg and Giuliani that drove the crime down. And De Blasio right now is treading water...the drops in crime stopped, and its hovering before heading back up again
</t>
  </si>
  <si>
    <t>id say even keeping city safe isnt accomplishment either bloomberg giuliani drove crime de blasio right treading waterthe drops crime stopped hovering heading back</t>
  </si>
  <si>
    <t>I can think of one or two things that would keep me from taking over the International Space Station. It’s probably a crime to commandeer a space station, but I don’t know enough about space law to say for sure.</t>
  </si>
  <si>
    <t>think one two things would keep taking international space station probably crime commandeer space station dont know enough space law say sure</t>
  </si>
  <si>
    <t>What you said is true, but your implication is bullshit. Property destruction and theft should not result in someone's death, or even apathy at someone's death.</t>
  </si>
  <si>
    <t>said true implication bullshit property destruction theft result someones death even apathy someones death</t>
  </si>
  <si>
    <t>Parking a large or above average car size in nyc everyday seems like a bad idea. I was so glad when my car got stolen.</t>
  </si>
  <si>
    <t>parking large average car size nyc everyday seems like bad idea glad car got stolen</t>
  </si>
  <si>
    <t xml:space="preserve">Oh good, more property damage to public property by people who receive public assistance. </t>
  </si>
  <si>
    <t>oh good property damage public property people receive public assistance</t>
  </si>
  <si>
    <t xml:space="preserve">Not sure if you even read my comment before going off on your tirade but my reply did say directly “the city isn’t as bad as people make it out to be. You’ll be surprised when you get here” 
Edit: and for the record, more people equals more crime. More people in the city so therefore more crime. BUT it’s not as bad as it’s made out to be. </t>
  </si>
  <si>
    <t>sure even read comment going tirade reply say directly city isnt bad people make youll surprised get edit record people equals crime people city therefore crime bad made</t>
  </si>
  <si>
    <t xml:space="preserve">There are no white people on Utica Ave during the day. Very few white people live there at all. I have lived and worked not too far from here for a while now 
White people are more likely to be shop when interacting with police than black people. Black people interact with the police more, however, due to living in high crime areas and committing much more crime per capita </t>
  </si>
  <si>
    <t>white people utica ave day white people live lived worked far white people likely shop interacting police black people black people interact police however due living high crime areas committing much crime per capita</t>
  </si>
  <si>
    <t>Hat robbery is a m'felony</t>
  </si>
  <si>
    <t>hat robbery mfelony</t>
  </si>
  <si>
    <t xml:space="preserve">They took his offensive ass hat off his head. Truly a victimless crime. Besides, the rest of the tourist's time here will be much more pleasant without it, so really he did them a favor. </t>
  </si>
  <si>
    <t>took offensive ass hat head truly victimless crime besides rest tourists time much pleasant without really favor</t>
  </si>
  <si>
    <t>Legalize prostitution so that it can be regulated. very simple.</t>
  </si>
  <si>
    <t>legalize prostitution regulated simple</t>
  </si>
  <si>
    <t>&gt; most likely the majority of convictions were traffic violations and petty theft
I wonder if you would you feel the same way if a friend or family member were run down by a drunk driving illegal.</t>
  </si>
  <si>
    <t>likely majority convictions traffic violations petty theft wonder would feel way friend family member run drunk driving illegal</t>
  </si>
  <si>
    <t>The difference is that manslaughter and murder are related crimes (wrongful death). Surprised anyone needs that explained to them.
Also, do you have the stats I mentioned at the end to back up your position or not?</t>
  </si>
  <si>
    <t>difference manslaughter murder related crimes wrongful death surprised anyone needs explained also stats mentioned end back position</t>
  </si>
  <si>
    <t xml:space="preserve">It's about massive police cuts. 
More cops on the street = less crime. 
When Dinkins got 5,000 extra police on the force, crime then went down under Giuliani. </t>
  </si>
  <si>
    <t>massive police cuts cops street less crime dinkins got extra police force crime went giuliani</t>
  </si>
  <si>
    <t>And your opinion, as a cop, is that penal law cannot be enforced against anyone unless an officer witnesses the crime unfold in front of his eyes?</t>
  </si>
  <si>
    <t>opinion cop penal law enforced anyone unless officer witnesses crime unfold front eyes</t>
  </si>
  <si>
    <t>Geez, shoes costing that much should be kept in a safe IMO and not worn. The kid was fronting bling shoes and got robbed. The ways of the 'hood are provocative sometimes.</t>
  </si>
  <si>
    <t>geez shoes costing much kept safe imo worn kid fronting bling shoes got robbed ways hood provocative sometimes</t>
  </si>
  <si>
    <t>No, the DOJ does not classify it as sexual assault you fucking lunatic. Your stalinist revolution hasn't made it to the legal system yet.</t>
  </si>
  <si>
    <t>doj classify sexual assault fucking lunatic stalinist revolution hasnt made legal system yet</t>
  </si>
  <si>
    <t xml:space="preserve">Piss all over the floor and was assaulted by a drunk bum as soon as I sat down. 10/10 exactly like subway. </t>
  </si>
  <si>
    <t>piss floor assaulted drunk bum soon sat exactly like subway</t>
  </si>
  <si>
    <t>Yeah mailbox fishing has come back into fashion lately. Best thing to do is avoid having it stolen in the first place. Walk into the actual PO, or drop it in the mailbox an hour or so before collection time. Whatever you do, don't mail anything in the evening via a street mailbox and give the thieves 20 hours to rummage through the slot.</t>
  </si>
  <si>
    <t>yeah mailbox fishing come back fashion lately best thing avoid stolen first place walk actual po drop mailbox hour collection time whatever dont mail anything evening via street mailbox give thieves hours rummage slot</t>
  </si>
  <si>
    <t>Bruh, crime has been going down. Wat</t>
  </si>
  <si>
    <t>bruh crime going wat</t>
  </si>
  <si>
    <t xml:space="preserve">If I talk to you, and I'm not asked to stop, my language isn't offensive or threatening... how is it harassment? 
If I'm in one location every morning,  how is that stalking?  It's not like you're being followed all day. It's one place, in the morning. For all we know the cabbie may live around the block. 
It's not a police problem, there is no crime (given the details we know). </t>
  </si>
  <si>
    <t>talk im asked stop language isnt offensive threatening harassment im one location every morning stalking like youre followed day one place morning know cabbie may live around block police problem crime given details know</t>
  </si>
  <si>
    <t>What the crime that's going to stick, in your opinion?</t>
  </si>
  <si>
    <t>crime thats going stick opinion</t>
  </si>
  <si>
    <t xml:space="preserve">Nah. This is the same guy who has assaulted a traffic cop in 05, an aide in 08, and attacked a photographer in 09 among other verbal outbursts. </t>
  </si>
  <si>
    <t>nah guy assaulted traffic cop aide attacked photographer among verbal outbursts</t>
  </si>
  <si>
    <t xml:space="preserve">Yes, Agreed. Anyone involved an any alt-right group should be disqualified from joining any form of law enforcement. These wannabe terrorists have been intentionally infiltrating law enforcement for decades. </t>
  </si>
  <si>
    <t>yes agreed anyone involved altright group disqualified joining form law enforcement wannabe terrorists intentionally infiltrating law enforcement decades</t>
  </si>
  <si>
    <t xml:space="preserve">Getting lead out of gasoline had more of an effect than all NYC policies put together. Note that crime fell in every other city too at the same time. </t>
  </si>
  <si>
    <t>getting lead gasoline effect nyc policies put together note crime fell every city time</t>
  </si>
  <si>
    <t>That's a lot of Damn work for political vandalism</t>
  </si>
  <si>
    <t>thats lot damn work political vandalism</t>
  </si>
  <si>
    <t xml:space="preserve">Your right, it's aggravated assault. </t>
  </si>
  <si>
    <t>right aggravated assault</t>
  </si>
  <si>
    <t xml:space="preserve">Is there a point working at minimum wage as an adult ? 
I’d say turning to crime is probably more profitable.  
I mean. 15 an hour. After taxes.   What a waste of time. </t>
  </si>
  <si>
    <t>point working minimum wage adult id say turning crime probably profitable mean hour taxes waste time</t>
  </si>
  <si>
    <t>#IT'S STOLEN!</t>
  </si>
  <si>
    <t>I don't know what he expected blocking in a biker gang.
&gt;A stranger in his 60s approached the driver and told him he couldn’t park in front of the hogs, but the deliveryman continued with the drop-off, law enforcement sources said.
&gt;When he returned to his car, two other men approached. One held him by the neck while the other sucker-punched him in the face, the sources added.
Oh look, they even asked nicely first.</t>
  </si>
  <si>
    <t>dont know expected blocking biker gang stranger approached driver told couldnt park front hogs deliveryman continued dropoff law enforcement sources said returned car two men approached one held neck suckerpunched face sources added oh look even asked nicely first</t>
  </si>
  <si>
    <t>Taxation is theft? Move to fucking New Hampshire then.</t>
  </si>
  <si>
    <t>taxation theft move fucking new hampshire</t>
  </si>
  <si>
    <t xml:space="preserve">Is bumping into someone now assault?
Regardless if you have a complaint, that's what The Civilian Complaint Review Board is for. </t>
  </si>
  <si>
    <t>bumping someone assault regardless complaint thats civilian complaint review board</t>
  </si>
  <si>
    <t>I guarantee you someone has gotten robbed there, and I’m sure they probably thought it was impossible to get robbed there.
Also, if you’re referring to the homeless people, you’re a piece of shit for calling them vermin like they’re not people.</t>
  </si>
  <si>
    <t>guarantee someone gotten robbed im sure probably thought impossible get robbed also youre referring homeless people youre piece shit calling vermin like theyre people</t>
  </si>
  <si>
    <t>Why would you qualify a crime. 
He lied under oath. That’s all that matters.</t>
  </si>
  <si>
    <t>would qualify crime lied oath thats matters</t>
  </si>
  <si>
    <t>Ugh they also sexually assaulted the 9 year old daughter</t>
  </si>
  <si>
    <t>ugh also sexually assaulted year old daughter</t>
  </si>
  <si>
    <t>Murder is a bit of a stretch. Eric Garner had an asthma attack, then a heart attack, then died...hours after the encounter.</t>
  </si>
  <si>
    <t>murder bit stretch eric garner asthma attack heart attack diedhours encounter</t>
  </si>
  <si>
    <t>Being homeless is not a crime.</t>
  </si>
  <si>
    <t>It’s like owning a gun is bad unless you actually rob someone.</t>
  </si>
  <si>
    <t>like owning gun bad unless actually rob someone</t>
  </si>
  <si>
    <t>&amp;&amp;&amp; what happens if your phone gets stolen? Wonder if this will increase phone thefts</t>
  </si>
  <si>
    <t>happens phone gets stolen wonder increase phone thefts</t>
  </si>
  <si>
    <t>Why would crime in NYC be more underreported than in other big cities in America?</t>
  </si>
  <si>
    <t>would crime nyc underreported big cities america</t>
  </si>
  <si>
    <t>crime family</t>
  </si>
  <si>
    <t>Oh no a post about crime in New York City. Where’s the mods at to delete this?!</t>
  </si>
  <si>
    <t>oh post crime new york city wheres mods delete</t>
  </si>
  <si>
    <t>&gt; You can’t have it both ways 🤷‍♂️
We're not. Attacking women in subways is not a minor crime, and this guy should never have been eligible for bail.</t>
  </si>
  <si>
    <t>cant ways attacking women subways minor crime guy never eligible bail</t>
  </si>
  <si>
    <t>why shouldn't it be?  even if convicted of 3rd degree assault, a first time offender is unlikely to get any jail time.</t>
  </si>
  <si>
    <t>shouldnt even convicted rd degree assault first time offender unlikely get jail time</t>
  </si>
  <si>
    <t>Robberies are significantly down YoY so maybe that's why</t>
  </si>
  <si>
    <t>robberies significantly yoy maybe thats</t>
  </si>
  <si>
    <t>Can I post out of context MLK quotes like "A riot is the voice of the unheard," similar to many people were doing here in June?</t>
  </si>
  <si>
    <t>post context mlk quotes like riot voice unheard similar many people june</t>
  </si>
  <si>
    <t>So is this a hate crime on a minor?</t>
  </si>
  <si>
    <t>hate crime minor</t>
  </si>
  <si>
    <t>Calling out sick to commit a federal crime, the union will not back him.</t>
  </si>
  <si>
    <t>calling sick commit federal crime union back</t>
  </si>
  <si>
    <t>1) It was a riot, incited by the president (Edited to clarify).
2) Why do you think NYC would be a target? Seat of NYS is Albany. You think right-wingers are going to come to NYC to kidnap de Blasio?</t>
  </si>
  <si>
    <t>riot incited president edited clarify think nyc would target seat nys albany think rightwingers going come nyc kidnap de blasio</t>
  </si>
  <si>
    <t>Prostitution is next</t>
  </si>
  <si>
    <t>prostitution next</t>
  </si>
  <si>
    <t>crime has unequivocally gone down in the city though. Crime levels are lower than almost anywhere else in the country</t>
  </si>
  <si>
    <t>crime unequivocally gone city though crime levels lower almost anywhere else country</t>
  </si>
  <si>
    <t>What is exactly the crime? It seems like if he is guilty of the crime then we as the city can avoid the payments when he is convicted, but there is a very slim chance of that happening?</t>
  </si>
  <si>
    <t>exactly crime seems like guilty crime city avoid payments convicted slim chance happening</t>
  </si>
  <si>
    <t>I believe non officer positions at NYPD also require civil service exams. 
Anyway, I'm taking issue with the distinction between "civilian" and and "local police officers." I suppose it's more of a critique on our approach to law enforcement and the trend to militarization.</t>
  </si>
  <si>
    <t>believe non officer positions nypd also require civil service exams anyway im taking issue distinction civilian local police officers suppose critique approach law enforcement trend militarization</t>
  </si>
  <si>
    <t>Aren't you describing the extrajudicial killing of human beings for theft?</t>
  </si>
  <si>
    <t>arent describing extrajudicial killing human beings theft</t>
  </si>
  <si>
    <t>My kid had their brand new bike stolen from the sidewalk on their 6th birthday. Wish I’d locked it up.</t>
  </si>
  <si>
    <t>kid brand new bike stolen sidewalk th birthday wish id locked</t>
  </si>
  <si>
    <t>Still will end up getting stolen</t>
  </si>
  <si>
    <t>still end getting stolen</t>
  </si>
  <si>
    <t>Question:
&gt;What’s your argument here? People should be allowed to graffiti the bridge?
Answer:
&gt; Some people decorate the bridge.
&gt; When we got to the other side, we saw a gang of police ready with zip ties and riot gear.
This is classic.  Do you have the same sense of bewilderment when the cops show up while you're "de-cluttering" a Target?</t>
  </si>
  <si>
    <t>question whats argument people allowed graffiti bridge answer people decorate bridge got side saw gang police ready zip ties riot gear classic sense bewilderment cops show youre decluttering target</t>
  </si>
  <si>
    <t>I can't my job is here. I need a car. Why is having a car so taboo. I have had cars stolen, whats your point. 
You don't want your bike stolen, move to the suburbs.</t>
  </si>
  <si>
    <t>cant job need car car taboo cars stolen whats point dont want bike stolen move suburbs</t>
  </si>
  <si>
    <t>Yep, was stolen from Gordo's out in the Bay Area. They got a linecook to give them the recipes (pretty sure the guy got fired) and then didn't compensate him a lick. Food at Gordo's is wayyy better. 
I know the brothers who started it, honestly pretty grade A scumbags.</t>
  </si>
  <si>
    <t>yep stolen gordos bay area got linecook give recipes pretty sure guy got fired didnt compensate lick food gordos wayyy better know brothers started honestly pretty grade scumbags</t>
  </si>
  <si>
    <t>They tried to grab him and he ran at another person with a knife. It was in a small apartment. Should they let the guy get stabbed or kill the dude trying to murder someone?</t>
  </si>
  <si>
    <t>tried grab ran another person knife small apartment let guy get stabbed kill dude trying murder someone</t>
  </si>
  <si>
    <t>They won’t. Robbery 2/gang assault for all. They’ll do a little bit at Rikers and likely never see state prison. Absent open cases for other things of course.</t>
  </si>
  <si>
    <t>wont robbery gang assault theyll little bit rikers likely never see state prison absent open cases things course</t>
  </si>
  <si>
    <t>Are you saying that investment is robbery?</t>
  </si>
  <si>
    <t>saying investment robbery</t>
  </si>
  <si>
    <t>&gt; This is the problem with bans like these.
prohibition always leads to black markets and an increase in crime.</t>
  </si>
  <si>
    <t>problem bans like prohibition always leads black markets increase crime</t>
  </si>
  <si>
    <t>Robbery victim was 20.  Grandma is who organized the gang (all from a dialysis center, what a boss move).</t>
  </si>
  <si>
    <t>robbery victim grandma organized gang dialysis center boss move</t>
  </si>
  <si>
    <t>So , I can commit any crime, break any law and claim ignorance and then expect no circumstances for my actions.  Listen, stop. I was tying to be helpful.</t>
  </si>
  <si>
    <t>commit crime break law claim ignorance expect circumstances actions listen stop tying helpful</t>
  </si>
  <si>
    <t>NYC has the largest police force in the country by a significant margin, perhaps this will be a good thing. Then again, under these conditions the city grew out of crime and into a place where you could feel safe in almost any neighborhood. Objectively, it's a tough call and I don't know what the right move is.</t>
  </si>
  <si>
    <t>nyc largest police force country significant margin perhaps good thing conditions city grew crime place could feel safe almost neighborhood objectively tough call dont know right move</t>
  </si>
  <si>
    <t>My brother got a citibike stolen a year ago, he definitely did not get charged $1.2k. He had to file a police report and after that I think the fee was closer to one or two hundred iirc.</t>
  </si>
  <si>
    <t>brother got citibike stolen year ago definitely get charged k file police report think fee closer one two hundred iirc</t>
  </si>
  <si>
    <t>Unfound crime scene</t>
  </si>
  <si>
    <t>unfound crime scene</t>
  </si>
  <si>
    <t>Stabbings ( assault 2/ attempted murder), general assaults and larcenies, burglaries etc.</t>
  </si>
  <si>
    <t>assault, murder, burglaries, attempted murder</t>
  </si>
  <si>
    <t>stabbings assault attempted murder general assaults larcenies burglaries etc</t>
  </si>
  <si>
    <t>My best friend growing up lived off the 79th street 1 stop, my mom’s place was a block from West 4th.
Going up to his place, we’d get off at 72nd and hit the Grays Papaya there and coming down to my place, we’d hit the Grays on 8th St. My childhood / teenage years were hot dogs on hot dogs on hot dogs, the true boroughbred staple. Gotta say, dollar pizza has stolen my heart these days, tho.</t>
  </si>
  <si>
    <t>best friend growing lived th street stop moms place block west th going place wed get nd hit grays papaya coming place wed hit grays th st childhood teenage years hot dogs hot dogs hot dogs true boroughbred staple got ta say dollar pizza stolen heart days tho</t>
  </si>
  <si>
    <t>How is Yang spineless? He's one of the few talking about rising crime in the city.</t>
  </si>
  <si>
    <t>yang spineless hes one talking rising crime city</t>
  </si>
  <si>
    <t>Ah yes, the fear on the streets about the risk of murder are palpable right now... lol.  Do you even live in nyc?</t>
  </si>
  <si>
    <t>ah yes fear streets risk murder palpable right lol even live nyc</t>
  </si>
  <si>
    <t>Somone who kills humans for sport like a hunter cannot be rehabilitated. Esp with a knife murder like this guy. It takes a certain type of person to get up close, and kill in such a bloody , gruesome manner. They should be locked in the deepest hole we can put them in.</t>
  </si>
  <si>
    <t>somone kills humans sport like hunter rehabilitated esp knife murder like guy takes certain type person get close kill bloody gruesome manner locked deepest hole put</t>
  </si>
  <si>
    <t>Maybe. But I also know one of my friends got assaulted by the Marcy ave stop guy and didn’t report it. I don’t think the numbers tell the whole story
Edit: I agree it’s not stopping people from returning to offices</t>
  </si>
  <si>
    <t>maybe also know one friends got assaulted marcy ave stop guy didnt report dont think numbers tell whole story edit agree stopping people returning offices</t>
  </si>
  <si>
    <t>When did the riot happen at capitol hill?  Sorry, I thought you were talking about Jan 6th when the capitol was attacked.</t>
  </si>
  <si>
    <t>riot happen capitol hill sorry thought talking jan th capitol attacked</t>
  </si>
  <si>
    <t>Trash and recycling cans get stolen. I'm from Philly, and if you don't get your recycling bin back off the curb pronto after collection, it's very common to find it missing.
What's really fucked up though? Philadelphia gives away recycling bins for free. You don't need to steal one!</t>
  </si>
  <si>
    <t>trash recycling cans get stolen im philly dont get recycling bin back curb pronto collection common find missing whats really fucked though philadelphia gives away recycling bins free dont need steal one</t>
  </si>
  <si>
    <t>from a crime family.</t>
  </si>
  <si>
    <t>Doubt it will happen but mad respect to this guy for standing up to the Cuomo Crime Family</t>
  </si>
  <si>
    <t>doubt happen mad respect guy standing cuomo crime family</t>
  </si>
  <si>
    <t>The bond would be forfeited if he doesn't show (or possibly commits another crime)</t>
  </si>
  <si>
    <t>bond would forfeited doesnt show possibly commits another crime</t>
  </si>
  <si>
    <t>There’s a video of Ron Kim fighting crime literally on the streets of NYC. Not the guy Cuomo should have chosen to bully.</t>
  </si>
  <si>
    <t>theres video ron kim fighting crime literally streets nyc guy cuomo chosen bully</t>
  </si>
  <si>
    <t>Could murder some shrooms</t>
  </si>
  <si>
    <t>could murder shrooms</t>
  </si>
  <si>
    <t>neutral</t>
  </si>
  <si>
    <t>positive</t>
  </si>
  <si>
    <t>Match</t>
  </si>
  <si>
    <t>Accuracy</t>
  </si>
  <si>
    <t>**Accuracy denotes the accuracy of the machine learning model that performs the sentiment analysis. Accuracy with respect to scores will be evaluated in the final stage of the project</t>
  </si>
  <si>
    <t>**Accuracy = No of correct classified entries (example Positive as Positive, and Negative as Negative) / Number of total entries evaluated</t>
  </si>
  <si>
    <t>EAS508: Statistics and Data Mining Group Project - Group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</si>
</sst>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i/>
      <sz val="12"/>
      <color theme="1"/>
      <name val="Calibri"/>
      <family val="2"/>
      <scheme val="minor"/>
    </font>
    <font>
      <b/>
      <u/>
      <sz val="18"/>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33">
    <xf numFmtId="0" fontId="0" fillId="0" borderId="0" xfId="0"/>
    <xf numFmtId="9" fontId="0" fillId="0" borderId="0" xfId="1" applyFont="1"/>
    <xf numFmtId="0" fontId="3" fillId="2" borderId="3" xfId="0" applyFont="1" applyFill="1" applyBorder="1" applyAlignment="1">
      <alignment horizontal="center" vertical="top"/>
    </xf>
    <xf numFmtId="0" fontId="3" fillId="2" borderId="4" xfId="0" applyFont="1" applyFill="1" applyBorder="1" applyAlignment="1">
      <alignment horizontal="center" vertical="top"/>
    </xf>
    <xf numFmtId="9" fontId="3" fillId="0" borderId="3" xfId="1" applyFont="1" applyFill="1" applyBorder="1" applyAlignment="1">
      <alignment horizontal="center" vertical="top"/>
    </xf>
    <xf numFmtId="9" fontId="3" fillId="0" borderId="4" xfId="1" applyFont="1" applyFill="1" applyBorder="1" applyAlignment="1">
      <alignment horizontal="center" vertical="top"/>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0" fillId="0" borderId="1"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 fillId="0" borderId="12" xfId="0" applyFont="1" applyBorder="1" applyAlignment="1">
      <alignment horizontal="center" vertical="top" wrapText="1"/>
    </xf>
    <xf numFmtId="0" fontId="0" fillId="0" borderId="0" xfId="0" applyAlignment="1">
      <alignment wrapText="1"/>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5" fillId="0" borderId="0" xfId="0" applyFont="1" applyAlignment="1">
      <alignment horizontal="left"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xdr:colOff>
      <xdr:row>0</xdr:row>
      <xdr:rowOff>21772</xdr:rowOff>
    </xdr:from>
    <xdr:to>
      <xdr:col>1</xdr:col>
      <xdr:colOff>1012371</xdr:colOff>
      <xdr:row>3</xdr:row>
      <xdr:rowOff>163286</xdr:rowOff>
    </xdr:to>
    <xdr:pic>
      <xdr:nvPicPr>
        <xdr:cNvPr id="3" name="Picture 2">
          <a:extLst>
            <a:ext uri="{FF2B5EF4-FFF2-40B4-BE49-F238E27FC236}">
              <a16:creationId xmlns:a16="http://schemas.microsoft.com/office/drawing/2014/main" id="{E08F07E2-294F-B834-4479-4ADC9A2E49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 y="21772"/>
          <a:ext cx="1654629" cy="69668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7"/>
  <sheetViews>
    <sheetView showGridLines="0" tabSelected="1" workbookViewId="0">
      <selection activeCell="F7" sqref="F7"/>
    </sheetView>
  </sheetViews>
  <sheetFormatPr defaultColWidth="0" defaultRowHeight="14.6" zeroHeight="1" x14ac:dyDescent="0.4"/>
  <cols>
    <col min="1" max="1" width="9.23046875" customWidth="1"/>
    <col min="2" max="2" width="14.84375" customWidth="1"/>
    <col min="3" max="3" width="11" customWidth="1"/>
    <col min="4" max="4" width="16.69140625" customWidth="1"/>
    <col min="5" max="5" width="13.69140625" customWidth="1"/>
    <col min="6" max="6" width="18.23046875" customWidth="1"/>
    <col min="7" max="7" width="19.3828125" customWidth="1"/>
    <col min="8" max="8" width="9.23046875" customWidth="1"/>
    <col min="9" max="9" width="18.84375" customWidth="1"/>
    <col min="10" max="11" width="9.23046875" customWidth="1"/>
    <col min="12" max="12" width="14.07421875" customWidth="1"/>
    <col min="13" max="13" width="11.23046875" customWidth="1"/>
    <col min="14" max="18" width="9.23046875" customWidth="1"/>
    <col min="21" max="16384" width="9.23046875" hidden="1"/>
  </cols>
  <sheetData>
    <row r="1" spans="1:17" x14ac:dyDescent="0.4">
      <c r="A1" s="26"/>
      <c r="B1" s="27"/>
    </row>
    <row r="2" spans="1:17" x14ac:dyDescent="0.4">
      <c r="A2" s="28"/>
      <c r="B2" s="29"/>
      <c r="D2" s="32" t="s">
        <v>1075</v>
      </c>
      <c r="E2" s="32"/>
      <c r="F2" s="32"/>
      <c r="G2" s="32"/>
      <c r="H2" s="32"/>
      <c r="I2" s="32"/>
      <c r="J2" s="32"/>
      <c r="K2" s="32"/>
      <c r="L2" s="32"/>
      <c r="M2" s="32"/>
      <c r="N2" s="32"/>
      <c r="O2" s="32"/>
      <c r="P2" s="32"/>
    </row>
    <row r="3" spans="1:17" x14ac:dyDescent="0.4">
      <c r="A3" s="28"/>
      <c r="B3" s="29"/>
      <c r="D3" s="32"/>
      <c r="E3" s="32"/>
      <c r="F3" s="32"/>
      <c r="G3" s="32"/>
      <c r="H3" s="32"/>
      <c r="I3" s="32"/>
      <c r="J3" s="32"/>
      <c r="K3" s="32"/>
      <c r="L3" s="32"/>
      <c r="M3" s="32"/>
      <c r="N3" s="32"/>
      <c r="O3" s="32"/>
      <c r="P3" s="32"/>
    </row>
    <row r="4" spans="1:17" ht="15" thickBot="1" x14ac:dyDescent="0.45">
      <c r="A4" s="30"/>
      <c r="B4" s="31"/>
      <c r="D4" s="32"/>
      <c r="E4" s="32"/>
      <c r="F4" s="32"/>
      <c r="G4" s="32"/>
      <c r="H4" s="32"/>
      <c r="I4" s="32"/>
      <c r="J4" s="32"/>
      <c r="K4" s="32"/>
      <c r="L4" s="32"/>
      <c r="M4" s="32"/>
      <c r="N4" s="32"/>
      <c r="O4" s="32"/>
      <c r="P4" s="32"/>
    </row>
    <row r="5" spans="1:17" ht="15" thickBot="1" x14ac:dyDescent="0.45"/>
    <row r="6" spans="1:17" s="25" customFormat="1" ht="20.6" customHeight="1" thickBot="1" x14ac:dyDescent="0.45">
      <c r="A6" s="24" t="s">
        <v>0</v>
      </c>
      <c r="B6" s="24" t="s">
        <v>1</v>
      </c>
      <c r="C6" s="24" t="s">
        <v>2</v>
      </c>
      <c r="D6" s="24" t="s">
        <v>3</v>
      </c>
      <c r="E6" s="24" t="s">
        <v>4</v>
      </c>
      <c r="F6" s="24" t="s">
        <v>5</v>
      </c>
      <c r="G6" s="24" t="s">
        <v>6</v>
      </c>
      <c r="H6" s="24" t="s">
        <v>7</v>
      </c>
      <c r="I6" s="24" t="s">
        <v>445</v>
      </c>
      <c r="J6" s="24" t="s">
        <v>1071</v>
      </c>
    </row>
    <row r="7" spans="1:17" ht="15" thickBot="1" x14ac:dyDescent="0.45">
      <c r="A7" s="21" t="s">
        <v>446</v>
      </c>
      <c r="B7" s="22" t="s">
        <v>447</v>
      </c>
      <c r="C7" s="22" t="s">
        <v>211</v>
      </c>
      <c r="D7" s="22" t="s">
        <v>448</v>
      </c>
      <c r="E7" s="22" t="s">
        <v>443</v>
      </c>
      <c r="F7" s="22">
        <v>-0.16</v>
      </c>
      <c r="G7" s="22">
        <v>0.1333333333333333</v>
      </c>
      <c r="H7" s="22">
        <v>13</v>
      </c>
      <c r="I7" s="22" t="s">
        <v>443</v>
      </c>
      <c r="J7" s="23">
        <f t="shared" ref="J7:J70" si="0">IF(I7=E7,1,0)</f>
        <v>1</v>
      </c>
    </row>
    <row r="8" spans="1:17" x14ac:dyDescent="0.4">
      <c r="A8" s="16" t="s">
        <v>446</v>
      </c>
      <c r="B8" s="15" t="s">
        <v>449</v>
      </c>
      <c r="C8" s="15" t="s">
        <v>227</v>
      </c>
      <c r="D8" s="15" t="s">
        <v>450</v>
      </c>
      <c r="E8" s="15" t="s">
        <v>443</v>
      </c>
      <c r="F8" s="15">
        <v>-0.4</v>
      </c>
      <c r="G8" s="15">
        <v>0</v>
      </c>
      <c r="H8" s="15">
        <v>15</v>
      </c>
      <c r="I8" s="15" t="s">
        <v>443</v>
      </c>
      <c r="J8" s="17">
        <f t="shared" si="0"/>
        <v>1</v>
      </c>
      <c r="L8" s="2" t="s">
        <v>1072</v>
      </c>
      <c r="M8" s="4">
        <f>SUM($J$7:$J$506)/COUNT($J$7:$J$506)</f>
        <v>0.86599999999999999</v>
      </c>
    </row>
    <row r="9" spans="1:17" ht="15" thickBot="1" x14ac:dyDescent="0.45">
      <c r="A9" s="16" t="s">
        <v>446</v>
      </c>
      <c r="B9" s="15" t="s">
        <v>451</v>
      </c>
      <c r="C9" s="15" t="s">
        <v>212</v>
      </c>
      <c r="D9" s="15" t="s">
        <v>452</v>
      </c>
      <c r="E9" s="15" t="s">
        <v>443</v>
      </c>
      <c r="F9" s="15">
        <v>-1.48</v>
      </c>
      <c r="G9" s="15">
        <v>0.73333333333333328</v>
      </c>
      <c r="H9" s="15">
        <v>4</v>
      </c>
      <c r="I9" s="15" t="s">
        <v>443</v>
      </c>
      <c r="J9" s="17">
        <f t="shared" si="0"/>
        <v>1</v>
      </c>
      <c r="L9" s="3"/>
      <c r="M9" s="5"/>
    </row>
    <row r="10" spans="1:17" x14ac:dyDescent="0.4">
      <c r="A10" s="16" t="s">
        <v>446</v>
      </c>
      <c r="B10" s="15" t="s">
        <v>453</v>
      </c>
      <c r="C10" s="15" t="s">
        <v>217</v>
      </c>
      <c r="D10" s="15" t="s">
        <v>454</v>
      </c>
      <c r="E10" s="15" t="s">
        <v>442</v>
      </c>
      <c r="F10" s="15">
        <v>-3.1999999999999973E-2</v>
      </c>
      <c r="G10" s="15">
        <v>0.36</v>
      </c>
      <c r="H10" s="15">
        <v>9</v>
      </c>
      <c r="I10" s="15" t="s">
        <v>443</v>
      </c>
      <c r="J10" s="17">
        <f t="shared" si="0"/>
        <v>0</v>
      </c>
      <c r="L10" s="1"/>
    </row>
    <row r="11" spans="1:17" ht="14.6" customHeight="1" x14ac:dyDescent="0.4">
      <c r="A11" s="16" t="s">
        <v>446</v>
      </c>
      <c r="B11" s="15" t="s">
        <v>455</v>
      </c>
      <c r="C11" s="15" t="s">
        <v>197</v>
      </c>
      <c r="D11" s="15" t="s">
        <v>456</v>
      </c>
      <c r="E11" s="15" t="s">
        <v>443</v>
      </c>
      <c r="F11" s="15">
        <v>-0.44</v>
      </c>
      <c r="G11" s="15">
        <v>0.2</v>
      </c>
      <c r="H11" s="15">
        <v>12</v>
      </c>
      <c r="I11" s="15" t="s">
        <v>443</v>
      </c>
      <c r="J11" s="17">
        <f t="shared" si="0"/>
        <v>1</v>
      </c>
      <c r="L11" s="6" t="s">
        <v>1073</v>
      </c>
      <c r="M11" s="7"/>
      <c r="N11" s="7"/>
      <c r="O11" s="7"/>
      <c r="P11" s="7"/>
      <c r="Q11" s="8"/>
    </row>
    <row r="12" spans="1:17" x14ac:dyDescent="0.4">
      <c r="A12" s="16" t="s">
        <v>446</v>
      </c>
      <c r="B12" s="15" t="s">
        <v>457</v>
      </c>
      <c r="C12" s="15" t="s">
        <v>197</v>
      </c>
      <c r="D12" s="15" t="s">
        <v>458</v>
      </c>
      <c r="E12" s="15" t="s">
        <v>442</v>
      </c>
      <c r="F12" s="15">
        <v>8.4786096256684526E-2</v>
      </c>
      <c r="G12" s="15">
        <v>9.4117647058823528E-2</v>
      </c>
      <c r="H12" s="15">
        <v>13</v>
      </c>
      <c r="I12" s="15" t="s">
        <v>443</v>
      </c>
      <c r="J12" s="17">
        <f t="shared" si="0"/>
        <v>0</v>
      </c>
      <c r="L12" s="9"/>
      <c r="M12" s="10"/>
      <c r="N12" s="10"/>
      <c r="O12" s="10"/>
      <c r="P12" s="10"/>
      <c r="Q12" s="11"/>
    </row>
    <row r="13" spans="1:17" x14ac:dyDescent="0.4">
      <c r="A13" s="16" t="s">
        <v>446</v>
      </c>
      <c r="B13" s="15" t="s">
        <v>459</v>
      </c>
      <c r="C13" s="15" t="s">
        <v>197</v>
      </c>
      <c r="D13" s="15" t="s">
        <v>460</v>
      </c>
      <c r="E13" s="15" t="s">
        <v>444</v>
      </c>
      <c r="F13" s="15">
        <v>0.34202380952380962</v>
      </c>
      <c r="G13" s="15">
        <v>0.1142857142857143</v>
      </c>
      <c r="H13" s="15">
        <v>13</v>
      </c>
      <c r="I13" s="15" t="s">
        <v>444</v>
      </c>
      <c r="J13" s="17">
        <f t="shared" si="0"/>
        <v>1</v>
      </c>
      <c r="L13" s="9"/>
      <c r="M13" s="10"/>
      <c r="N13" s="10"/>
      <c r="O13" s="10"/>
      <c r="P13" s="10"/>
      <c r="Q13" s="11"/>
    </row>
    <row r="14" spans="1:17" x14ac:dyDescent="0.4">
      <c r="A14" s="16" t="s">
        <v>446</v>
      </c>
      <c r="B14" s="15" t="s">
        <v>461</v>
      </c>
      <c r="C14" s="15" t="s">
        <v>197</v>
      </c>
      <c r="D14" s="15" t="s">
        <v>462</v>
      </c>
      <c r="E14" s="15" t="s">
        <v>442</v>
      </c>
      <c r="F14" s="15">
        <v>2.6222679759265118E-2</v>
      </c>
      <c r="G14" s="15">
        <v>3.9024390243902439E-2</v>
      </c>
      <c r="H14" s="15">
        <v>14</v>
      </c>
      <c r="I14" s="15" t="s">
        <v>442</v>
      </c>
      <c r="J14" s="17">
        <f t="shared" si="0"/>
        <v>1</v>
      </c>
      <c r="L14" s="9"/>
      <c r="M14" s="10"/>
      <c r="N14" s="10"/>
      <c r="O14" s="10"/>
      <c r="P14" s="10"/>
      <c r="Q14" s="11"/>
    </row>
    <row r="15" spans="1:17" x14ac:dyDescent="0.4">
      <c r="A15" s="16" t="s">
        <v>446</v>
      </c>
      <c r="B15" s="15" t="s">
        <v>463</v>
      </c>
      <c r="C15" s="15" t="s">
        <v>197</v>
      </c>
      <c r="D15" s="15" t="s">
        <v>464</v>
      </c>
      <c r="E15" s="15" t="s">
        <v>444</v>
      </c>
      <c r="F15" s="15">
        <v>0.1885606060606061</v>
      </c>
      <c r="G15" s="15">
        <v>4.4444444444444453E-2</v>
      </c>
      <c r="H15" s="15">
        <v>14</v>
      </c>
      <c r="I15" s="15" t="s">
        <v>444</v>
      </c>
      <c r="J15" s="17">
        <f t="shared" si="0"/>
        <v>1</v>
      </c>
      <c r="L15" s="12"/>
      <c r="M15" s="13"/>
      <c r="N15" s="13"/>
      <c r="O15" s="13"/>
      <c r="P15" s="13"/>
      <c r="Q15" s="14"/>
    </row>
    <row r="16" spans="1:17" x14ac:dyDescent="0.4">
      <c r="A16" s="16" t="s">
        <v>446</v>
      </c>
      <c r="B16" s="15" t="s">
        <v>465</v>
      </c>
      <c r="C16" s="15" t="s">
        <v>224</v>
      </c>
      <c r="D16" s="15" t="s">
        <v>466</v>
      </c>
      <c r="E16" s="15" t="s">
        <v>442</v>
      </c>
      <c r="F16" s="15">
        <v>-9.1176470588235359E-3</v>
      </c>
      <c r="G16" s="15">
        <v>0.1117647058823529</v>
      </c>
      <c r="H16" s="15">
        <v>13</v>
      </c>
      <c r="I16" s="15" t="s">
        <v>442</v>
      </c>
      <c r="J16" s="17">
        <f t="shared" si="0"/>
        <v>1</v>
      </c>
      <c r="L16" s="6" t="s">
        <v>1074</v>
      </c>
      <c r="M16" s="7"/>
      <c r="N16" s="7"/>
      <c r="O16" s="7"/>
      <c r="P16" s="7"/>
      <c r="Q16" s="8"/>
    </row>
    <row r="17" spans="1:17" x14ac:dyDescent="0.4">
      <c r="A17" s="16" t="s">
        <v>446</v>
      </c>
      <c r="B17" s="15" t="s">
        <v>467</v>
      </c>
      <c r="C17" s="15" t="s">
        <v>211</v>
      </c>
      <c r="D17" s="15" t="s">
        <v>468</v>
      </c>
      <c r="E17" s="15" t="s">
        <v>444</v>
      </c>
      <c r="F17" s="15">
        <v>0.154</v>
      </c>
      <c r="G17" s="15">
        <v>0.08</v>
      </c>
      <c r="H17" s="15">
        <v>13</v>
      </c>
      <c r="I17" s="15" t="s">
        <v>444</v>
      </c>
      <c r="J17" s="17">
        <f t="shared" si="0"/>
        <v>1</v>
      </c>
      <c r="L17" s="9"/>
      <c r="M17" s="10"/>
      <c r="N17" s="10"/>
      <c r="O17" s="10"/>
      <c r="P17" s="10"/>
      <c r="Q17" s="11"/>
    </row>
    <row r="18" spans="1:17" x14ac:dyDescent="0.4">
      <c r="A18" s="16" t="s">
        <v>446</v>
      </c>
      <c r="B18" s="15" t="s">
        <v>469</v>
      </c>
      <c r="C18" s="15" t="s">
        <v>134</v>
      </c>
      <c r="D18" s="15" t="s">
        <v>470</v>
      </c>
      <c r="E18" s="15" t="s">
        <v>443</v>
      </c>
      <c r="F18" s="15">
        <v>-0.32</v>
      </c>
      <c r="G18" s="15">
        <v>0.26666666666666672</v>
      </c>
      <c r="H18" s="15">
        <v>11</v>
      </c>
      <c r="I18" s="15" t="s">
        <v>443</v>
      </c>
      <c r="J18" s="17">
        <f t="shared" si="0"/>
        <v>1</v>
      </c>
      <c r="L18" s="9"/>
      <c r="M18" s="10"/>
      <c r="N18" s="10"/>
      <c r="O18" s="10"/>
      <c r="P18" s="10"/>
      <c r="Q18" s="11"/>
    </row>
    <row r="19" spans="1:17" x14ac:dyDescent="0.4">
      <c r="A19" s="16" t="s">
        <v>446</v>
      </c>
      <c r="B19" s="15" t="s">
        <v>471</v>
      </c>
      <c r="C19" s="15" t="s">
        <v>236</v>
      </c>
      <c r="D19" s="15" t="s">
        <v>472</v>
      </c>
      <c r="E19" s="15" t="s">
        <v>443</v>
      </c>
      <c r="F19" s="15">
        <v>-0.60909090909090913</v>
      </c>
      <c r="G19" s="15">
        <v>9.0909090909090912E-2</v>
      </c>
      <c r="H19" s="15">
        <v>13</v>
      </c>
      <c r="I19" s="15" t="s">
        <v>443</v>
      </c>
      <c r="J19" s="17">
        <f t="shared" si="0"/>
        <v>1</v>
      </c>
      <c r="L19" s="9"/>
      <c r="M19" s="10"/>
      <c r="N19" s="10"/>
      <c r="O19" s="10"/>
      <c r="P19" s="10"/>
      <c r="Q19" s="11"/>
    </row>
    <row r="20" spans="1:17" x14ac:dyDescent="0.4">
      <c r="A20" s="16" t="s">
        <v>446</v>
      </c>
      <c r="B20" s="15" t="s">
        <v>473</v>
      </c>
      <c r="C20" s="15" t="s">
        <v>134</v>
      </c>
      <c r="D20" s="15" t="s">
        <v>474</v>
      </c>
      <c r="E20" s="15" t="s">
        <v>442</v>
      </c>
      <c r="F20" s="15">
        <v>-1.0000000000000011E-2</v>
      </c>
      <c r="G20" s="15">
        <v>2.222222222222222E-2</v>
      </c>
      <c r="H20" s="15">
        <v>14</v>
      </c>
      <c r="I20" s="15" t="s">
        <v>442</v>
      </c>
      <c r="J20" s="17">
        <f t="shared" si="0"/>
        <v>1</v>
      </c>
      <c r="L20" s="12"/>
      <c r="M20" s="13"/>
      <c r="N20" s="13"/>
      <c r="O20" s="13"/>
      <c r="P20" s="13"/>
      <c r="Q20" s="14"/>
    </row>
    <row r="21" spans="1:17" x14ac:dyDescent="0.4">
      <c r="A21" s="16" t="s">
        <v>446</v>
      </c>
      <c r="B21" s="15" t="s">
        <v>475</v>
      </c>
      <c r="C21" s="15" t="s">
        <v>197</v>
      </c>
      <c r="D21" s="15" t="s">
        <v>476</v>
      </c>
      <c r="E21" s="15" t="s">
        <v>442</v>
      </c>
      <c r="F21" s="15">
        <v>-5.6666666666666643E-2</v>
      </c>
      <c r="G21" s="15">
        <v>0.2</v>
      </c>
      <c r="H21" s="15">
        <v>12</v>
      </c>
      <c r="I21" s="15" t="s">
        <v>442</v>
      </c>
      <c r="J21" s="17">
        <f t="shared" si="0"/>
        <v>1</v>
      </c>
    </row>
    <row r="22" spans="1:17" x14ac:dyDescent="0.4">
      <c r="A22" s="16" t="s">
        <v>446</v>
      </c>
      <c r="B22" s="15" t="s">
        <v>477</v>
      </c>
      <c r="C22" s="15" t="s">
        <v>228</v>
      </c>
      <c r="D22" s="15" t="s">
        <v>478</v>
      </c>
      <c r="E22" s="15" t="s">
        <v>443</v>
      </c>
      <c r="F22" s="15">
        <v>-0.13714285714285709</v>
      </c>
      <c r="G22" s="15">
        <v>0.1142857142857143</v>
      </c>
      <c r="H22" s="15">
        <v>13</v>
      </c>
      <c r="I22" s="15" t="s">
        <v>443</v>
      </c>
      <c r="J22" s="17">
        <f t="shared" si="0"/>
        <v>1</v>
      </c>
    </row>
    <row r="23" spans="1:17" x14ac:dyDescent="0.4">
      <c r="A23" s="16" t="s">
        <v>446</v>
      </c>
      <c r="B23" s="15" t="s">
        <v>479</v>
      </c>
      <c r="C23" s="15" t="s">
        <v>224</v>
      </c>
      <c r="D23" s="15" t="s">
        <v>480</v>
      </c>
      <c r="E23" s="15" t="s">
        <v>443</v>
      </c>
      <c r="F23" s="15">
        <v>-0.236969696969697</v>
      </c>
      <c r="G23" s="15">
        <v>8.6363636363636365E-2</v>
      </c>
      <c r="H23" s="15">
        <v>13</v>
      </c>
      <c r="I23" s="15" t="s">
        <v>443</v>
      </c>
      <c r="J23" s="17">
        <f t="shared" si="0"/>
        <v>1</v>
      </c>
    </row>
    <row r="24" spans="1:17" x14ac:dyDescent="0.4">
      <c r="A24" s="16" t="s">
        <v>446</v>
      </c>
      <c r="B24" s="15" t="s">
        <v>481</v>
      </c>
      <c r="C24" s="15" t="s">
        <v>197</v>
      </c>
      <c r="D24" s="15" t="s">
        <v>482</v>
      </c>
      <c r="E24" s="15" t="s">
        <v>443</v>
      </c>
      <c r="F24" s="15">
        <v>-0.44515151515151519</v>
      </c>
      <c r="G24" s="15">
        <v>0.17777777777777781</v>
      </c>
      <c r="H24" s="15">
        <v>12</v>
      </c>
      <c r="I24" s="15" t="s">
        <v>444</v>
      </c>
      <c r="J24" s="17">
        <f t="shared" si="0"/>
        <v>0</v>
      </c>
    </row>
    <row r="25" spans="1:17" x14ac:dyDescent="0.4">
      <c r="A25" s="16" t="s">
        <v>446</v>
      </c>
      <c r="B25" s="15" t="s">
        <v>483</v>
      </c>
      <c r="C25" s="15" t="s">
        <v>227</v>
      </c>
      <c r="D25" s="15" t="s">
        <v>484</v>
      </c>
      <c r="E25" s="15" t="s">
        <v>442</v>
      </c>
      <c r="F25" s="15">
        <v>0</v>
      </c>
      <c r="G25" s="15">
        <v>0</v>
      </c>
      <c r="H25" s="15">
        <v>11</v>
      </c>
      <c r="I25" s="15" t="s">
        <v>442</v>
      </c>
      <c r="J25" s="17">
        <f t="shared" si="0"/>
        <v>1</v>
      </c>
    </row>
    <row r="26" spans="1:17" x14ac:dyDescent="0.4">
      <c r="A26" s="16" t="s">
        <v>446</v>
      </c>
      <c r="B26" s="15" t="s">
        <v>485</v>
      </c>
      <c r="C26" s="15" t="s">
        <v>197</v>
      </c>
      <c r="D26" s="15" t="s">
        <v>486</v>
      </c>
      <c r="E26" s="15" t="s">
        <v>443</v>
      </c>
      <c r="F26" s="15">
        <v>-0.28466666666666668</v>
      </c>
      <c r="G26" s="15">
        <v>8.8888888888888892E-2</v>
      </c>
      <c r="H26" s="15">
        <v>10</v>
      </c>
      <c r="I26" s="15" t="s">
        <v>443</v>
      </c>
      <c r="J26" s="17">
        <f t="shared" si="0"/>
        <v>1</v>
      </c>
    </row>
    <row r="27" spans="1:17" x14ac:dyDescent="0.4">
      <c r="A27" s="16" t="s">
        <v>446</v>
      </c>
      <c r="B27" s="15" t="s">
        <v>487</v>
      </c>
      <c r="C27" s="15" t="s">
        <v>197</v>
      </c>
      <c r="D27" s="15" t="s">
        <v>488</v>
      </c>
      <c r="E27" s="15" t="s">
        <v>443</v>
      </c>
      <c r="F27" s="15">
        <v>0.10564102564102559</v>
      </c>
      <c r="G27" s="15">
        <v>0.1230769230769231</v>
      </c>
      <c r="H27" s="15">
        <v>10</v>
      </c>
      <c r="I27" s="15" t="s">
        <v>443</v>
      </c>
      <c r="J27" s="17">
        <f t="shared" si="0"/>
        <v>1</v>
      </c>
    </row>
    <row r="28" spans="1:17" x14ac:dyDescent="0.4">
      <c r="A28" s="16" t="s">
        <v>446</v>
      </c>
      <c r="B28" s="15" t="s">
        <v>489</v>
      </c>
      <c r="C28" s="15" t="s">
        <v>197</v>
      </c>
      <c r="D28" s="15" t="s">
        <v>490</v>
      </c>
      <c r="E28" s="15" t="s">
        <v>443</v>
      </c>
      <c r="F28" s="15">
        <v>-0.1745454545454545</v>
      </c>
      <c r="G28" s="15">
        <v>0.14545454545454539</v>
      </c>
      <c r="H28" s="15">
        <v>8</v>
      </c>
      <c r="I28" s="15" t="s">
        <v>443</v>
      </c>
      <c r="J28" s="17">
        <f t="shared" si="0"/>
        <v>1</v>
      </c>
    </row>
    <row r="29" spans="1:17" x14ac:dyDescent="0.4">
      <c r="A29" s="16" t="s">
        <v>446</v>
      </c>
      <c r="B29" s="15" t="s">
        <v>491</v>
      </c>
      <c r="C29" s="15" t="s">
        <v>197</v>
      </c>
      <c r="D29" s="15" t="s">
        <v>492</v>
      </c>
      <c r="E29" s="15" t="s">
        <v>444</v>
      </c>
      <c r="F29" s="15">
        <v>0.1057142857142858</v>
      </c>
      <c r="G29" s="15">
        <v>0.22857142857142859</v>
      </c>
      <c r="H29" s="15">
        <v>8</v>
      </c>
      <c r="I29" s="15" t="s">
        <v>443</v>
      </c>
      <c r="J29" s="17">
        <f t="shared" si="0"/>
        <v>0</v>
      </c>
    </row>
    <row r="30" spans="1:17" x14ac:dyDescent="0.4">
      <c r="A30" s="16" t="s">
        <v>446</v>
      </c>
      <c r="B30" s="15" t="s">
        <v>493</v>
      </c>
      <c r="C30" s="15" t="s">
        <v>197</v>
      </c>
      <c r="D30" s="15" t="s">
        <v>494</v>
      </c>
      <c r="E30" s="15" t="s">
        <v>444</v>
      </c>
      <c r="F30" s="15">
        <v>-5.1428571428571428E-2</v>
      </c>
      <c r="G30" s="15">
        <v>6.6666666666666666E-2</v>
      </c>
      <c r="H30" s="15">
        <v>14</v>
      </c>
      <c r="I30" s="15" t="s">
        <v>444</v>
      </c>
      <c r="J30" s="17">
        <f t="shared" si="0"/>
        <v>1</v>
      </c>
    </row>
    <row r="31" spans="1:17" x14ac:dyDescent="0.4">
      <c r="A31" s="16" t="s">
        <v>446</v>
      </c>
      <c r="B31" s="15" t="s">
        <v>495</v>
      </c>
      <c r="C31" s="15" t="s">
        <v>197</v>
      </c>
      <c r="D31" s="15" t="s">
        <v>496</v>
      </c>
      <c r="E31" s="15" t="s">
        <v>443</v>
      </c>
      <c r="F31" s="15">
        <v>-0.16</v>
      </c>
      <c r="G31" s="15">
        <v>0.1333333333333333</v>
      </c>
      <c r="H31" s="15">
        <v>13</v>
      </c>
      <c r="I31" s="15" t="s">
        <v>443</v>
      </c>
      <c r="J31" s="17">
        <f t="shared" si="0"/>
        <v>1</v>
      </c>
    </row>
    <row r="32" spans="1:17" x14ac:dyDescent="0.4">
      <c r="A32" s="16" t="s">
        <v>446</v>
      </c>
      <c r="B32" s="15" t="s">
        <v>497</v>
      </c>
      <c r="C32" s="15" t="s">
        <v>197</v>
      </c>
      <c r="D32" s="15" t="s">
        <v>498</v>
      </c>
      <c r="E32" s="15" t="s">
        <v>443</v>
      </c>
      <c r="F32" s="15">
        <v>-0.14928571428571419</v>
      </c>
      <c r="G32" s="15">
        <v>0.22857142857142859</v>
      </c>
      <c r="H32" s="15">
        <v>11</v>
      </c>
      <c r="I32" s="15" t="s">
        <v>444</v>
      </c>
      <c r="J32" s="17">
        <f t="shared" si="0"/>
        <v>0</v>
      </c>
    </row>
    <row r="33" spans="1:10" x14ac:dyDescent="0.4">
      <c r="A33" s="16" t="s">
        <v>446</v>
      </c>
      <c r="B33" s="15" t="s">
        <v>499</v>
      </c>
      <c r="C33" s="15" t="s">
        <v>197</v>
      </c>
      <c r="D33" s="15" t="s">
        <v>500</v>
      </c>
      <c r="E33" s="15" t="s">
        <v>443</v>
      </c>
      <c r="F33" s="15">
        <v>-4.5974025974025973E-2</v>
      </c>
      <c r="G33" s="15">
        <v>0.14545454545454539</v>
      </c>
      <c r="H33" s="15">
        <v>12</v>
      </c>
      <c r="I33" s="15" t="s">
        <v>443</v>
      </c>
      <c r="J33" s="17">
        <f t="shared" si="0"/>
        <v>1</v>
      </c>
    </row>
    <row r="34" spans="1:10" x14ac:dyDescent="0.4">
      <c r="A34" s="16" t="s">
        <v>446</v>
      </c>
      <c r="B34" s="15" t="s">
        <v>501</v>
      </c>
      <c r="C34" s="15" t="s">
        <v>197</v>
      </c>
      <c r="D34" s="15" t="s">
        <v>502</v>
      </c>
      <c r="E34" s="15" t="s">
        <v>443</v>
      </c>
      <c r="F34" s="15">
        <v>-0.44</v>
      </c>
      <c r="G34" s="15">
        <v>0.53333333333333333</v>
      </c>
      <c r="H34" s="15">
        <v>7</v>
      </c>
      <c r="I34" s="15" t="s">
        <v>443</v>
      </c>
      <c r="J34" s="17">
        <f t="shared" si="0"/>
        <v>1</v>
      </c>
    </row>
    <row r="35" spans="1:10" x14ac:dyDescent="0.4">
      <c r="A35" s="16" t="s">
        <v>446</v>
      </c>
      <c r="B35" s="15" t="s">
        <v>602</v>
      </c>
      <c r="C35" s="15" t="s">
        <v>197</v>
      </c>
      <c r="D35" s="15" t="s">
        <v>603</v>
      </c>
      <c r="E35" s="15" t="s">
        <v>443</v>
      </c>
      <c r="F35" s="15">
        <v>-0.16</v>
      </c>
      <c r="G35" s="15">
        <v>0.26666666666666672</v>
      </c>
      <c r="H35" s="15">
        <v>8</v>
      </c>
      <c r="I35" s="15" t="s">
        <v>443</v>
      </c>
      <c r="J35" s="17">
        <f t="shared" si="0"/>
        <v>1</v>
      </c>
    </row>
    <row r="36" spans="1:10" x14ac:dyDescent="0.4">
      <c r="A36" s="16" t="s">
        <v>446</v>
      </c>
      <c r="B36" s="15" t="s">
        <v>604</v>
      </c>
      <c r="C36" s="15" t="s">
        <v>228</v>
      </c>
      <c r="D36" s="15" t="s">
        <v>605</v>
      </c>
      <c r="E36" s="15" t="s">
        <v>443</v>
      </c>
      <c r="F36" s="15">
        <v>-0.18857142857142861</v>
      </c>
      <c r="G36" s="15">
        <v>0.15714285714285711</v>
      </c>
      <c r="H36" s="15">
        <v>12</v>
      </c>
      <c r="I36" s="15" t="s">
        <v>443</v>
      </c>
      <c r="J36" s="17">
        <f t="shared" si="0"/>
        <v>1</v>
      </c>
    </row>
    <row r="37" spans="1:10" x14ac:dyDescent="0.4">
      <c r="A37" s="16" t="s">
        <v>446</v>
      </c>
      <c r="B37" s="15" t="s">
        <v>606</v>
      </c>
      <c r="C37" s="15" t="s">
        <v>197</v>
      </c>
      <c r="D37" s="15" t="s">
        <v>607</v>
      </c>
      <c r="E37" s="15" t="s">
        <v>443</v>
      </c>
      <c r="F37" s="15">
        <v>-0.36</v>
      </c>
      <c r="G37" s="15">
        <v>0.3</v>
      </c>
      <c r="H37" s="15">
        <v>10</v>
      </c>
      <c r="I37" s="15" t="s">
        <v>443</v>
      </c>
      <c r="J37" s="17">
        <f t="shared" si="0"/>
        <v>1</v>
      </c>
    </row>
    <row r="38" spans="1:10" x14ac:dyDescent="0.4">
      <c r="A38" s="16" t="s">
        <v>446</v>
      </c>
      <c r="B38" s="15" t="s">
        <v>608</v>
      </c>
      <c r="C38" s="15" t="s">
        <v>197</v>
      </c>
      <c r="D38" s="15" t="s">
        <v>609</v>
      </c>
      <c r="E38" s="15" t="s">
        <v>443</v>
      </c>
      <c r="F38" s="15">
        <v>-0.24</v>
      </c>
      <c r="G38" s="15">
        <v>0.2</v>
      </c>
      <c r="H38" s="15">
        <v>12</v>
      </c>
      <c r="I38" s="15" t="s">
        <v>443</v>
      </c>
      <c r="J38" s="17">
        <f t="shared" si="0"/>
        <v>1</v>
      </c>
    </row>
    <row r="39" spans="1:10" x14ac:dyDescent="0.4">
      <c r="A39" s="16" t="s">
        <v>446</v>
      </c>
      <c r="B39" s="15" t="s">
        <v>610</v>
      </c>
      <c r="C39" s="15" t="s">
        <v>215</v>
      </c>
      <c r="D39" s="15" t="s">
        <v>611</v>
      </c>
      <c r="E39" s="15" t="s">
        <v>444</v>
      </c>
      <c r="F39" s="15">
        <v>0.1285714285714285</v>
      </c>
      <c r="G39" s="15">
        <v>0</v>
      </c>
      <c r="H39" s="15">
        <v>15</v>
      </c>
      <c r="I39" s="15" t="s">
        <v>444</v>
      </c>
      <c r="J39" s="17">
        <f t="shared" si="0"/>
        <v>1</v>
      </c>
    </row>
    <row r="40" spans="1:10" x14ac:dyDescent="0.4">
      <c r="A40" s="16" t="s">
        <v>446</v>
      </c>
      <c r="B40" s="15" t="s">
        <v>612</v>
      </c>
      <c r="C40" s="15" t="s">
        <v>197</v>
      </c>
      <c r="D40" s="15" t="s">
        <v>613</v>
      </c>
      <c r="E40" s="15" t="s">
        <v>443</v>
      </c>
      <c r="F40" s="15">
        <v>-0.52666666666666673</v>
      </c>
      <c r="G40" s="15">
        <v>0.1333333333333333</v>
      </c>
      <c r="H40" s="15">
        <v>13</v>
      </c>
      <c r="I40" s="15" t="s">
        <v>443</v>
      </c>
      <c r="J40" s="17">
        <f t="shared" si="0"/>
        <v>1</v>
      </c>
    </row>
    <row r="41" spans="1:10" x14ac:dyDescent="0.4">
      <c r="A41" s="16" t="s">
        <v>446</v>
      </c>
      <c r="B41" s="15" t="s">
        <v>614</v>
      </c>
      <c r="C41" s="15" t="s">
        <v>217</v>
      </c>
      <c r="D41" s="15" t="s">
        <v>615</v>
      </c>
      <c r="E41" s="15" t="s">
        <v>443</v>
      </c>
      <c r="F41" s="15">
        <v>-0.14857142857142849</v>
      </c>
      <c r="G41" s="15">
        <v>0.25714285714285712</v>
      </c>
      <c r="H41" s="15">
        <v>11</v>
      </c>
      <c r="I41" s="15" t="s">
        <v>443</v>
      </c>
      <c r="J41" s="17">
        <f t="shared" si="0"/>
        <v>1</v>
      </c>
    </row>
    <row r="42" spans="1:10" x14ac:dyDescent="0.4">
      <c r="A42" s="16" t="s">
        <v>446</v>
      </c>
      <c r="B42" s="15" t="s">
        <v>616</v>
      </c>
      <c r="C42" s="15" t="s">
        <v>227</v>
      </c>
      <c r="D42" s="15" t="s">
        <v>617</v>
      </c>
      <c r="E42" s="15" t="s">
        <v>442</v>
      </c>
      <c r="F42" s="15">
        <v>0</v>
      </c>
      <c r="G42" s="15">
        <v>0</v>
      </c>
      <c r="H42" s="15">
        <v>15</v>
      </c>
      <c r="I42" s="15" t="s">
        <v>442</v>
      </c>
      <c r="J42" s="17">
        <f t="shared" si="0"/>
        <v>1</v>
      </c>
    </row>
    <row r="43" spans="1:10" x14ac:dyDescent="0.4">
      <c r="A43" s="16" t="s">
        <v>446</v>
      </c>
      <c r="B43" s="15" t="s">
        <v>618</v>
      </c>
      <c r="C43" s="15" t="s">
        <v>197</v>
      </c>
      <c r="D43" s="15" t="s">
        <v>619</v>
      </c>
      <c r="E43" s="15" t="s">
        <v>444</v>
      </c>
      <c r="F43" s="15">
        <v>0.17545977011494249</v>
      </c>
      <c r="G43" s="15">
        <v>5.5172413793103448E-2</v>
      </c>
      <c r="H43" s="15">
        <v>14</v>
      </c>
      <c r="I43" s="15" t="s">
        <v>444</v>
      </c>
      <c r="J43" s="17">
        <f t="shared" si="0"/>
        <v>1</v>
      </c>
    </row>
    <row r="44" spans="1:10" x14ac:dyDescent="0.4">
      <c r="A44" s="16" t="s">
        <v>446</v>
      </c>
      <c r="B44" s="15" t="s">
        <v>620</v>
      </c>
      <c r="C44" s="15" t="s">
        <v>188</v>
      </c>
      <c r="D44" s="15" t="s">
        <v>621</v>
      </c>
      <c r="E44" s="15" t="s">
        <v>443</v>
      </c>
      <c r="F44" s="15">
        <v>-0.32400000000000001</v>
      </c>
      <c r="G44" s="15">
        <v>0.27</v>
      </c>
      <c r="H44" s="15">
        <v>10</v>
      </c>
      <c r="I44" s="15" t="s">
        <v>443</v>
      </c>
      <c r="J44" s="17">
        <f t="shared" si="0"/>
        <v>1</v>
      </c>
    </row>
    <row r="45" spans="1:10" x14ac:dyDescent="0.4">
      <c r="A45" s="16" t="s">
        <v>446</v>
      </c>
      <c r="B45" s="15" t="s">
        <v>622</v>
      </c>
      <c r="C45" s="15" t="s">
        <v>197</v>
      </c>
      <c r="D45" s="15" t="s">
        <v>623</v>
      </c>
      <c r="E45" s="15" t="s">
        <v>442</v>
      </c>
      <c r="F45" s="15">
        <v>9.4285714285714278E-2</v>
      </c>
      <c r="G45" s="15">
        <v>0.1</v>
      </c>
      <c r="H45" s="15">
        <v>13</v>
      </c>
      <c r="I45" s="15" t="s">
        <v>442</v>
      </c>
      <c r="J45" s="17">
        <f t="shared" si="0"/>
        <v>1</v>
      </c>
    </row>
    <row r="46" spans="1:10" x14ac:dyDescent="0.4">
      <c r="A46" s="16" t="s">
        <v>446</v>
      </c>
      <c r="B46" s="15" t="s">
        <v>624</v>
      </c>
      <c r="C46" s="15" t="s">
        <v>197</v>
      </c>
      <c r="D46" s="15" t="s">
        <v>625</v>
      </c>
      <c r="E46" s="15" t="s">
        <v>444</v>
      </c>
      <c r="F46" s="15">
        <v>0.21199927227944471</v>
      </c>
      <c r="G46" s="15">
        <v>5.5172413793103448E-2</v>
      </c>
      <c r="H46" s="15">
        <v>14</v>
      </c>
      <c r="I46" s="15" t="s">
        <v>443</v>
      </c>
      <c r="J46" s="17">
        <f t="shared" si="0"/>
        <v>0</v>
      </c>
    </row>
    <row r="47" spans="1:10" x14ac:dyDescent="0.4">
      <c r="A47" s="16" t="s">
        <v>446</v>
      </c>
      <c r="B47" s="15" t="s">
        <v>626</v>
      </c>
      <c r="C47" s="15" t="s">
        <v>211</v>
      </c>
      <c r="D47" s="15" t="s">
        <v>627</v>
      </c>
      <c r="E47" s="15" t="s">
        <v>442</v>
      </c>
      <c r="F47" s="15">
        <v>-8.7272727272727266E-2</v>
      </c>
      <c r="G47" s="15">
        <v>7.2727272727272724E-2</v>
      </c>
      <c r="H47" s="15">
        <v>13</v>
      </c>
      <c r="I47" s="15" t="s">
        <v>442</v>
      </c>
      <c r="J47" s="17">
        <f t="shared" si="0"/>
        <v>1</v>
      </c>
    </row>
    <row r="48" spans="1:10" x14ac:dyDescent="0.4">
      <c r="A48" s="16" t="s">
        <v>446</v>
      </c>
      <c r="B48" s="15" t="s">
        <v>628</v>
      </c>
      <c r="C48" s="15" t="s">
        <v>197</v>
      </c>
      <c r="D48" s="15" t="s">
        <v>629</v>
      </c>
      <c r="E48" s="15" t="s">
        <v>443</v>
      </c>
      <c r="F48" s="15">
        <v>-0.13714285714285709</v>
      </c>
      <c r="G48" s="15">
        <v>0.1142857142857143</v>
      </c>
      <c r="H48" s="15">
        <v>13</v>
      </c>
      <c r="I48" s="15" t="s">
        <v>443</v>
      </c>
      <c r="J48" s="17">
        <f t="shared" si="0"/>
        <v>1</v>
      </c>
    </row>
    <row r="49" spans="1:10" x14ac:dyDescent="0.4">
      <c r="A49" s="16" t="s">
        <v>446</v>
      </c>
      <c r="B49" s="15" t="s">
        <v>630</v>
      </c>
      <c r="C49" s="15" t="s">
        <v>197</v>
      </c>
      <c r="D49" s="15" t="s">
        <v>631</v>
      </c>
      <c r="E49" s="15" t="s">
        <v>443</v>
      </c>
      <c r="F49" s="15">
        <v>-0.25090909090909091</v>
      </c>
      <c r="G49" s="15">
        <v>0.1333333333333333</v>
      </c>
      <c r="H49" s="15">
        <v>13</v>
      </c>
      <c r="I49" s="15" t="s">
        <v>444</v>
      </c>
      <c r="J49" s="17">
        <f t="shared" si="0"/>
        <v>0</v>
      </c>
    </row>
    <row r="50" spans="1:10" x14ac:dyDescent="0.4">
      <c r="A50" s="16" t="s">
        <v>446</v>
      </c>
      <c r="B50" s="15" t="s">
        <v>632</v>
      </c>
      <c r="C50" s="15" t="s">
        <v>197</v>
      </c>
      <c r="D50" s="15" t="s">
        <v>633</v>
      </c>
      <c r="E50" s="15" t="s">
        <v>443</v>
      </c>
      <c r="F50" s="15">
        <v>-0.25750000000000001</v>
      </c>
      <c r="G50" s="15">
        <v>6.8750000000000006E-2</v>
      </c>
      <c r="H50" s="15">
        <v>13</v>
      </c>
      <c r="I50" s="15" t="s">
        <v>443</v>
      </c>
      <c r="J50" s="17">
        <f t="shared" si="0"/>
        <v>1</v>
      </c>
    </row>
    <row r="51" spans="1:10" x14ac:dyDescent="0.4">
      <c r="A51" s="16" t="s">
        <v>446</v>
      </c>
      <c r="B51" s="15" t="s">
        <v>634</v>
      </c>
      <c r="C51" s="15" t="s">
        <v>635</v>
      </c>
      <c r="D51" s="15" t="s">
        <v>636</v>
      </c>
      <c r="E51" s="15" t="s">
        <v>443</v>
      </c>
      <c r="F51" s="15">
        <v>-0.1291666666666666</v>
      </c>
      <c r="G51" s="15">
        <v>0</v>
      </c>
      <c r="H51" s="15">
        <v>15</v>
      </c>
      <c r="I51" s="15" t="s">
        <v>443</v>
      </c>
      <c r="J51" s="17">
        <f t="shared" si="0"/>
        <v>1</v>
      </c>
    </row>
    <row r="52" spans="1:10" x14ac:dyDescent="0.4">
      <c r="A52" s="16" t="s">
        <v>446</v>
      </c>
      <c r="B52" s="15" t="s">
        <v>637</v>
      </c>
      <c r="C52" s="15" t="s">
        <v>211</v>
      </c>
      <c r="D52" s="15" t="s">
        <v>638</v>
      </c>
      <c r="E52" s="15" t="s">
        <v>442</v>
      </c>
      <c r="F52" s="15">
        <v>-0.03</v>
      </c>
      <c r="G52" s="15">
        <v>6.6666666666666666E-2</v>
      </c>
      <c r="H52" s="15">
        <v>14</v>
      </c>
      <c r="I52" s="15" t="s">
        <v>442</v>
      </c>
      <c r="J52" s="17">
        <f t="shared" si="0"/>
        <v>1</v>
      </c>
    </row>
    <row r="53" spans="1:10" x14ac:dyDescent="0.4">
      <c r="A53" s="16" t="s">
        <v>446</v>
      </c>
      <c r="B53" s="15" t="s">
        <v>503</v>
      </c>
      <c r="C53" s="15" t="s">
        <v>197</v>
      </c>
      <c r="D53" s="15" t="s">
        <v>504</v>
      </c>
      <c r="E53" s="15" t="s">
        <v>443</v>
      </c>
      <c r="F53" s="15">
        <v>-0.37454545454545463</v>
      </c>
      <c r="G53" s="15">
        <v>0.14545454545454539</v>
      </c>
      <c r="H53" s="15">
        <v>12</v>
      </c>
      <c r="I53" s="15" t="s">
        <v>443</v>
      </c>
      <c r="J53" s="17">
        <f t="shared" si="0"/>
        <v>1</v>
      </c>
    </row>
    <row r="54" spans="1:10" x14ac:dyDescent="0.4">
      <c r="A54" s="16" t="s">
        <v>446</v>
      </c>
      <c r="B54" s="15" t="s">
        <v>505</v>
      </c>
      <c r="C54" s="15" t="s">
        <v>197</v>
      </c>
      <c r="D54" s="15" t="s">
        <v>506</v>
      </c>
      <c r="E54" s="15" t="s">
        <v>444</v>
      </c>
      <c r="F54" s="15">
        <v>0.1516666666666667</v>
      </c>
      <c r="G54" s="15">
        <v>0.2</v>
      </c>
      <c r="H54" s="15">
        <v>12</v>
      </c>
      <c r="I54" s="15" t="s">
        <v>444</v>
      </c>
      <c r="J54" s="17">
        <f t="shared" si="0"/>
        <v>1</v>
      </c>
    </row>
    <row r="55" spans="1:10" x14ac:dyDescent="0.4">
      <c r="A55" s="16" t="s">
        <v>446</v>
      </c>
      <c r="B55" s="15" t="s">
        <v>507</v>
      </c>
      <c r="C55" s="15" t="s">
        <v>197</v>
      </c>
      <c r="D55" s="15" t="s">
        <v>508</v>
      </c>
      <c r="E55" s="15" t="s">
        <v>442</v>
      </c>
      <c r="F55" s="15">
        <v>-3.0219298245614021E-2</v>
      </c>
      <c r="G55" s="15">
        <v>8.4210526315789472E-2</v>
      </c>
      <c r="H55" s="15">
        <v>13</v>
      </c>
      <c r="I55" s="15" t="s">
        <v>444</v>
      </c>
      <c r="J55" s="17">
        <f t="shared" si="0"/>
        <v>0</v>
      </c>
    </row>
    <row r="56" spans="1:10" x14ac:dyDescent="0.4">
      <c r="A56" s="16" t="s">
        <v>446</v>
      </c>
      <c r="B56" s="15" t="s">
        <v>509</v>
      </c>
      <c r="C56" s="15" t="s">
        <v>197</v>
      </c>
      <c r="D56" s="15" t="s">
        <v>510</v>
      </c>
      <c r="E56" s="15" t="s">
        <v>443</v>
      </c>
      <c r="F56" s="15">
        <v>-0.38400000000000001</v>
      </c>
      <c r="G56" s="15">
        <v>0.32</v>
      </c>
      <c r="H56" s="15">
        <v>10</v>
      </c>
      <c r="I56" s="15" t="s">
        <v>443</v>
      </c>
      <c r="J56" s="17">
        <f t="shared" si="0"/>
        <v>1</v>
      </c>
    </row>
    <row r="57" spans="1:10" x14ac:dyDescent="0.4">
      <c r="A57" s="16" t="s">
        <v>446</v>
      </c>
      <c r="B57" s="15" t="s">
        <v>511</v>
      </c>
      <c r="C57" s="15" t="s">
        <v>197</v>
      </c>
      <c r="D57" s="15" t="s">
        <v>512</v>
      </c>
      <c r="E57" s="15" t="s">
        <v>443</v>
      </c>
      <c r="F57" s="15">
        <v>-0.192</v>
      </c>
      <c r="G57" s="15">
        <v>0.16</v>
      </c>
      <c r="H57" s="15">
        <v>12</v>
      </c>
      <c r="I57" s="15" t="s">
        <v>443</v>
      </c>
      <c r="J57" s="17">
        <f t="shared" si="0"/>
        <v>1</v>
      </c>
    </row>
    <row r="58" spans="1:10" x14ac:dyDescent="0.4">
      <c r="A58" s="16" t="s">
        <v>446</v>
      </c>
      <c r="B58" s="15" t="s">
        <v>513</v>
      </c>
      <c r="C58" s="15" t="s">
        <v>197</v>
      </c>
      <c r="D58" s="15" t="s">
        <v>514</v>
      </c>
      <c r="E58" s="15" t="s">
        <v>443</v>
      </c>
      <c r="F58" s="15">
        <v>-0.64200000000000002</v>
      </c>
      <c r="G58" s="15">
        <v>0.16</v>
      </c>
      <c r="H58" s="15">
        <v>12</v>
      </c>
      <c r="I58" s="15" t="s">
        <v>443</v>
      </c>
      <c r="J58" s="17">
        <f t="shared" si="0"/>
        <v>1</v>
      </c>
    </row>
    <row r="59" spans="1:10" x14ac:dyDescent="0.4">
      <c r="A59" s="16" t="s">
        <v>446</v>
      </c>
      <c r="B59" s="15" t="s">
        <v>515</v>
      </c>
      <c r="C59" s="15" t="s">
        <v>232</v>
      </c>
      <c r="D59" s="15" t="s">
        <v>516</v>
      </c>
      <c r="E59" s="15" t="s">
        <v>442</v>
      </c>
      <c r="F59" s="15">
        <v>0</v>
      </c>
      <c r="G59" s="15">
        <v>0</v>
      </c>
      <c r="H59" s="15">
        <v>15</v>
      </c>
      <c r="I59" s="15" t="s">
        <v>442</v>
      </c>
      <c r="J59" s="17">
        <f t="shared" si="0"/>
        <v>1</v>
      </c>
    </row>
    <row r="60" spans="1:10" x14ac:dyDescent="0.4">
      <c r="A60" s="16" t="s">
        <v>446</v>
      </c>
      <c r="B60" s="15" t="s">
        <v>517</v>
      </c>
      <c r="C60" s="15" t="s">
        <v>188</v>
      </c>
      <c r="D60" s="15" t="s">
        <v>518</v>
      </c>
      <c r="E60" s="15" t="s">
        <v>443</v>
      </c>
      <c r="F60" s="15">
        <v>-0.57000000000000006</v>
      </c>
      <c r="G60" s="15">
        <v>0.26666666666666672</v>
      </c>
      <c r="H60" s="15">
        <v>11</v>
      </c>
      <c r="I60" s="15" t="s">
        <v>442</v>
      </c>
      <c r="J60" s="17">
        <f t="shared" si="0"/>
        <v>0</v>
      </c>
    </row>
    <row r="61" spans="1:10" x14ac:dyDescent="0.4">
      <c r="A61" s="16" t="s">
        <v>446</v>
      </c>
      <c r="B61" s="15" t="s">
        <v>519</v>
      </c>
      <c r="C61" s="15" t="s">
        <v>211</v>
      </c>
      <c r="D61" s="15" t="s">
        <v>367</v>
      </c>
      <c r="E61" s="15" t="s">
        <v>443</v>
      </c>
      <c r="F61" s="15">
        <v>-0.32</v>
      </c>
      <c r="G61" s="15">
        <v>0.26666666666666672</v>
      </c>
      <c r="H61" s="15">
        <v>11</v>
      </c>
      <c r="I61" s="15" t="s">
        <v>443</v>
      </c>
      <c r="J61" s="17">
        <f t="shared" si="0"/>
        <v>1</v>
      </c>
    </row>
    <row r="62" spans="1:10" x14ac:dyDescent="0.4">
      <c r="A62" s="16" t="s">
        <v>446</v>
      </c>
      <c r="B62" s="15" t="s">
        <v>520</v>
      </c>
      <c r="C62" s="15" t="s">
        <v>211</v>
      </c>
      <c r="D62" s="15" t="s">
        <v>521</v>
      </c>
      <c r="E62" s="15" t="s">
        <v>443</v>
      </c>
      <c r="F62" s="15">
        <v>-0.1066666666666667</v>
      </c>
      <c r="G62" s="15">
        <v>8.8888888888888892E-2</v>
      </c>
      <c r="H62" s="15">
        <v>13</v>
      </c>
      <c r="I62" s="15" t="s">
        <v>443</v>
      </c>
      <c r="J62" s="17">
        <f t="shared" si="0"/>
        <v>1</v>
      </c>
    </row>
    <row r="63" spans="1:10" x14ac:dyDescent="0.4">
      <c r="A63" s="16" t="s">
        <v>446</v>
      </c>
      <c r="B63" s="15" t="s">
        <v>522</v>
      </c>
      <c r="C63" s="15" t="s">
        <v>212</v>
      </c>
      <c r="D63" s="15" t="s">
        <v>523</v>
      </c>
      <c r="E63" s="15" t="s">
        <v>443</v>
      </c>
      <c r="F63" s="15">
        <v>-0.376</v>
      </c>
      <c r="G63" s="15">
        <v>0.1466666666666667</v>
      </c>
      <c r="H63" s="15">
        <v>12</v>
      </c>
      <c r="I63" s="15" t="s">
        <v>442</v>
      </c>
      <c r="J63" s="17">
        <f t="shared" si="0"/>
        <v>0</v>
      </c>
    </row>
    <row r="64" spans="1:10" x14ac:dyDescent="0.4">
      <c r="A64" s="16" t="s">
        <v>446</v>
      </c>
      <c r="B64" s="15" t="s">
        <v>524</v>
      </c>
      <c r="C64" s="15" t="s">
        <v>197</v>
      </c>
      <c r="D64" s="15" t="s">
        <v>525</v>
      </c>
      <c r="E64" s="15" t="s">
        <v>444</v>
      </c>
      <c r="F64" s="15">
        <v>0.20521212121212121</v>
      </c>
      <c r="G64" s="15">
        <v>0.08</v>
      </c>
      <c r="H64" s="15">
        <v>13</v>
      </c>
      <c r="I64" s="15" t="s">
        <v>444</v>
      </c>
      <c r="J64" s="17">
        <f t="shared" si="0"/>
        <v>1</v>
      </c>
    </row>
    <row r="65" spans="1:10" x14ac:dyDescent="0.4">
      <c r="A65" s="16" t="s">
        <v>446</v>
      </c>
      <c r="B65" s="15" t="s">
        <v>526</v>
      </c>
      <c r="C65" s="15" t="s">
        <v>197</v>
      </c>
      <c r="D65" s="15" t="s">
        <v>527</v>
      </c>
      <c r="E65" s="15" t="s">
        <v>443</v>
      </c>
      <c r="F65" s="15">
        <v>-0.31803571428571431</v>
      </c>
      <c r="G65" s="15">
        <v>0.22857142857142859</v>
      </c>
      <c r="H65" s="15">
        <v>11</v>
      </c>
      <c r="I65" s="15" t="s">
        <v>444</v>
      </c>
      <c r="J65" s="17">
        <f t="shared" si="0"/>
        <v>0</v>
      </c>
    </row>
    <row r="66" spans="1:10" x14ac:dyDescent="0.4">
      <c r="A66" s="16" t="s">
        <v>446</v>
      </c>
      <c r="B66" s="15" t="s">
        <v>528</v>
      </c>
      <c r="C66" s="15" t="s">
        <v>188</v>
      </c>
      <c r="D66" s="15" t="s">
        <v>529</v>
      </c>
      <c r="E66" s="15" t="s">
        <v>443</v>
      </c>
      <c r="F66" s="15">
        <v>-0.28799999999999998</v>
      </c>
      <c r="G66" s="15">
        <v>0.24</v>
      </c>
      <c r="H66" s="15">
        <v>11</v>
      </c>
      <c r="I66" s="15" t="s">
        <v>443</v>
      </c>
      <c r="J66" s="17">
        <f t="shared" si="0"/>
        <v>1</v>
      </c>
    </row>
    <row r="67" spans="1:10" x14ac:dyDescent="0.4">
      <c r="A67" s="16" t="s">
        <v>446</v>
      </c>
      <c r="B67" s="15" t="s">
        <v>530</v>
      </c>
      <c r="C67" s="15" t="s">
        <v>211</v>
      </c>
      <c r="D67" s="15" t="s">
        <v>531</v>
      </c>
      <c r="E67" s="15" t="s">
        <v>442</v>
      </c>
      <c r="F67" s="15">
        <v>6.6166666666666665E-2</v>
      </c>
      <c r="G67" s="15">
        <v>1.7777777777777781E-2</v>
      </c>
      <c r="H67" s="15">
        <v>14</v>
      </c>
      <c r="I67" s="15" t="s">
        <v>442</v>
      </c>
      <c r="J67" s="17">
        <f t="shared" si="0"/>
        <v>1</v>
      </c>
    </row>
    <row r="68" spans="1:10" x14ac:dyDescent="0.4">
      <c r="A68" s="16" t="s">
        <v>446</v>
      </c>
      <c r="B68" s="15" t="s">
        <v>532</v>
      </c>
      <c r="C68" s="15" t="s">
        <v>210</v>
      </c>
      <c r="D68" s="15" t="s">
        <v>533</v>
      </c>
      <c r="E68" s="15" t="s">
        <v>442</v>
      </c>
      <c r="F68" s="15">
        <v>-8.3333333333333329E-2</v>
      </c>
      <c r="G68" s="15">
        <v>0</v>
      </c>
      <c r="H68" s="15">
        <v>15</v>
      </c>
      <c r="I68" s="15" t="s">
        <v>442</v>
      </c>
      <c r="J68" s="17">
        <f t="shared" si="0"/>
        <v>1</v>
      </c>
    </row>
    <row r="69" spans="1:10" x14ac:dyDescent="0.4">
      <c r="A69" s="16" t="s">
        <v>446</v>
      </c>
      <c r="B69" s="15" t="s">
        <v>534</v>
      </c>
      <c r="C69" s="15" t="s">
        <v>134</v>
      </c>
      <c r="D69" s="15" t="s">
        <v>535</v>
      </c>
      <c r="E69" s="15" t="s">
        <v>443</v>
      </c>
      <c r="F69" s="15">
        <v>-0.14000000000000001</v>
      </c>
      <c r="G69" s="15">
        <v>0.2</v>
      </c>
      <c r="H69" s="15">
        <v>12</v>
      </c>
      <c r="I69" s="15" t="s">
        <v>443</v>
      </c>
      <c r="J69" s="17">
        <f t="shared" si="0"/>
        <v>1</v>
      </c>
    </row>
    <row r="70" spans="1:10" x14ac:dyDescent="0.4">
      <c r="A70" s="16" t="s">
        <v>446</v>
      </c>
      <c r="B70" s="15" t="s">
        <v>536</v>
      </c>
      <c r="C70" s="15" t="s">
        <v>241</v>
      </c>
      <c r="D70" s="15" t="s">
        <v>537</v>
      </c>
      <c r="E70" s="15" t="s">
        <v>443</v>
      </c>
      <c r="F70" s="15">
        <v>-0.17799999999999999</v>
      </c>
      <c r="G70" s="15">
        <v>0.19</v>
      </c>
      <c r="H70" s="15">
        <v>12</v>
      </c>
      <c r="I70" s="15" t="s">
        <v>443</v>
      </c>
      <c r="J70" s="17">
        <f t="shared" si="0"/>
        <v>1</v>
      </c>
    </row>
    <row r="71" spans="1:10" x14ac:dyDescent="0.4">
      <c r="A71" s="16" t="s">
        <v>446</v>
      </c>
      <c r="B71" s="15" t="s">
        <v>538</v>
      </c>
      <c r="C71" s="15" t="s">
        <v>238</v>
      </c>
      <c r="D71" s="15" t="s">
        <v>539</v>
      </c>
      <c r="E71" s="15" t="s">
        <v>443</v>
      </c>
      <c r="F71" s="15">
        <v>-0.1676923076923077</v>
      </c>
      <c r="G71" s="15">
        <v>0.22307692307692309</v>
      </c>
      <c r="H71" s="15">
        <v>11</v>
      </c>
      <c r="I71" s="15" t="s">
        <v>443</v>
      </c>
      <c r="J71" s="17">
        <f t="shared" ref="J71:J134" si="1">IF(I71=E71,1,0)</f>
        <v>1</v>
      </c>
    </row>
    <row r="72" spans="1:10" x14ac:dyDescent="0.4">
      <c r="A72" s="16" t="s">
        <v>446</v>
      </c>
      <c r="B72" s="15" t="s">
        <v>540</v>
      </c>
      <c r="C72" s="15" t="s">
        <v>197</v>
      </c>
      <c r="D72" s="15" t="s">
        <v>541</v>
      </c>
      <c r="E72" s="15" t="s">
        <v>444</v>
      </c>
      <c r="F72" s="15">
        <v>0.15857142857142861</v>
      </c>
      <c r="G72" s="15">
        <v>7.6190476190476197E-2</v>
      </c>
      <c r="H72" s="15">
        <v>13</v>
      </c>
      <c r="I72" s="15" t="s">
        <v>444</v>
      </c>
      <c r="J72" s="17">
        <f t="shared" si="1"/>
        <v>1</v>
      </c>
    </row>
    <row r="73" spans="1:10" x14ac:dyDescent="0.4">
      <c r="A73" s="16" t="s">
        <v>446</v>
      </c>
      <c r="B73" s="15" t="s">
        <v>542</v>
      </c>
      <c r="C73" s="15" t="s">
        <v>188</v>
      </c>
      <c r="D73" s="15" t="s">
        <v>543</v>
      </c>
      <c r="E73" s="15" t="s">
        <v>443</v>
      </c>
      <c r="F73" s="15">
        <v>-0.57599999999999996</v>
      </c>
      <c r="G73" s="15">
        <v>0.48</v>
      </c>
      <c r="H73" s="15">
        <v>7</v>
      </c>
      <c r="I73" s="15" t="s">
        <v>443</v>
      </c>
      <c r="J73" s="17">
        <f t="shared" si="1"/>
        <v>1</v>
      </c>
    </row>
    <row r="74" spans="1:10" x14ac:dyDescent="0.4">
      <c r="A74" s="16" t="s">
        <v>446</v>
      </c>
      <c r="B74" s="15" t="s">
        <v>544</v>
      </c>
      <c r="C74" s="15" t="s">
        <v>188</v>
      </c>
      <c r="D74" s="15" t="s">
        <v>545</v>
      </c>
      <c r="E74" s="15" t="s">
        <v>443</v>
      </c>
      <c r="F74" s="15">
        <v>-0.72</v>
      </c>
      <c r="G74" s="15">
        <v>0.6</v>
      </c>
      <c r="H74" s="15">
        <v>6</v>
      </c>
      <c r="I74" s="15" t="s">
        <v>443</v>
      </c>
      <c r="J74" s="17">
        <f t="shared" si="1"/>
        <v>1</v>
      </c>
    </row>
    <row r="75" spans="1:10" x14ac:dyDescent="0.4">
      <c r="A75" s="16" t="s">
        <v>446</v>
      </c>
      <c r="B75" s="15" t="s">
        <v>546</v>
      </c>
      <c r="C75" s="15" t="s">
        <v>211</v>
      </c>
      <c r="D75" s="15" t="s">
        <v>547</v>
      </c>
      <c r="E75" s="15" t="s">
        <v>443</v>
      </c>
      <c r="F75" s="15">
        <v>-0.192</v>
      </c>
      <c r="G75" s="15">
        <v>0.16</v>
      </c>
      <c r="H75" s="15">
        <v>12</v>
      </c>
      <c r="I75" s="15" t="s">
        <v>443</v>
      </c>
      <c r="J75" s="17">
        <f t="shared" si="1"/>
        <v>1</v>
      </c>
    </row>
    <row r="76" spans="1:10" x14ac:dyDescent="0.4">
      <c r="A76" s="16" t="s">
        <v>446</v>
      </c>
      <c r="B76" s="15" t="s">
        <v>548</v>
      </c>
      <c r="C76" s="15" t="s">
        <v>197</v>
      </c>
      <c r="D76" s="15" t="s">
        <v>549</v>
      </c>
      <c r="E76" s="15" t="s">
        <v>444</v>
      </c>
      <c r="F76" s="15">
        <v>0.65400000000000003</v>
      </c>
      <c r="G76" s="15">
        <v>0.08</v>
      </c>
      <c r="H76" s="15">
        <v>13</v>
      </c>
      <c r="I76" s="15" t="s">
        <v>444</v>
      </c>
      <c r="J76" s="17">
        <f t="shared" si="1"/>
        <v>1</v>
      </c>
    </row>
    <row r="77" spans="1:10" x14ac:dyDescent="0.4">
      <c r="A77" s="16" t="s">
        <v>446</v>
      </c>
      <c r="B77" s="15" t="s">
        <v>550</v>
      </c>
      <c r="C77" s="15" t="s">
        <v>197</v>
      </c>
      <c r="D77" s="15" t="s">
        <v>551</v>
      </c>
      <c r="E77" s="15" t="s">
        <v>442</v>
      </c>
      <c r="F77" s="15">
        <v>-3.7500000000000029E-3</v>
      </c>
      <c r="G77" s="15">
        <v>0.1333333333333333</v>
      </c>
      <c r="H77" s="15">
        <v>10</v>
      </c>
      <c r="I77" s="15" t="s">
        <v>442</v>
      </c>
      <c r="J77" s="17">
        <f t="shared" si="1"/>
        <v>1</v>
      </c>
    </row>
    <row r="78" spans="1:10" x14ac:dyDescent="0.4">
      <c r="A78" s="16" t="s">
        <v>446</v>
      </c>
      <c r="B78" s="15" t="s">
        <v>552</v>
      </c>
      <c r="C78" s="15" t="s">
        <v>197</v>
      </c>
      <c r="D78" s="15" t="s">
        <v>553</v>
      </c>
      <c r="E78" s="15" t="s">
        <v>444</v>
      </c>
      <c r="F78" s="15">
        <v>0.19061403508771929</v>
      </c>
      <c r="G78" s="15">
        <v>8.4210526315789472E-2</v>
      </c>
      <c r="H78" s="15">
        <v>13</v>
      </c>
      <c r="I78" s="15" t="s">
        <v>444</v>
      </c>
      <c r="J78" s="17">
        <f t="shared" si="1"/>
        <v>1</v>
      </c>
    </row>
    <row r="79" spans="1:10" x14ac:dyDescent="0.4">
      <c r="A79" s="16" t="s">
        <v>446</v>
      </c>
      <c r="B79" s="15" t="s">
        <v>554</v>
      </c>
      <c r="C79" s="15" t="s">
        <v>217</v>
      </c>
      <c r="D79" s="15" t="s">
        <v>555</v>
      </c>
      <c r="E79" s="15" t="s">
        <v>443</v>
      </c>
      <c r="F79" s="15">
        <v>-0.27</v>
      </c>
      <c r="G79" s="15">
        <v>0.22500000000000001</v>
      </c>
      <c r="H79" s="15">
        <v>11</v>
      </c>
      <c r="I79" s="15" t="s">
        <v>443</v>
      </c>
      <c r="J79" s="17">
        <f t="shared" si="1"/>
        <v>1</v>
      </c>
    </row>
    <row r="80" spans="1:10" x14ac:dyDescent="0.4">
      <c r="A80" s="16" t="s">
        <v>446</v>
      </c>
      <c r="B80" s="15" t="s">
        <v>556</v>
      </c>
      <c r="C80" s="15" t="s">
        <v>188</v>
      </c>
      <c r="D80" s="15" t="s">
        <v>557</v>
      </c>
      <c r="E80" s="15" t="s">
        <v>443</v>
      </c>
      <c r="F80" s="15">
        <v>-0.20571428571428571</v>
      </c>
      <c r="G80" s="15">
        <v>0.1714285714285714</v>
      </c>
      <c r="H80" s="15">
        <v>12</v>
      </c>
      <c r="I80" s="15" t="s">
        <v>443</v>
      </c>
      <c r="J80" s="17">
        <f t="shared" si="1"/>
        <v>1</v>
      </c>
    </row>
    <row r="81" spans="1:10" x14ac:dyDescent="0.4">
      <c r="A81" s="16" t="s">
        <v>446</v>
      </c>
      <c r="B81" s="15" t="s">
        <v>558</v>
      </c>
      <c r="C81" s="15" t="s">
        <v>197</v>
      </c>
      <c r="D81" s="15" t="s">
        <v>559</v>
      </c>
      <c r="E81" s="15" t="s">
        <v>442</v>
      </c>
      <c r="F81" s="15">
        <v>-5.6404428904428913E-2</v>
      </c>
      <c r="G81" s="15">
        <v>0.1230769230769231</v>
      </c>
      <c r="H81" s="15">
        <v>13</v>
      </c>
      <c r="I81" s="15" t="s">
        <v>444</v>
      </c>
      <c r="J81" s="17">
        <f t="shared" si="1"/>
        <v>0</v>
      </c>
    </row>
    <row r="82" spans="1:10" x14ac:dyDescent="0.4">
      <c r="A82" s="16" t="s">
        <v>446</v>
      </c>
      <c r="B82" s="15" t="s">
        <v>560</v>
      </c>
      <c r="C82" s="15" t="s">
        <v>197</v>
      </c>
      <c r="D82" s="15" t="s">
        <v>561</v>
      </c>
      <c r="E82" s="15" t="s">
        <v>443</v>
      </c>
      <c r="F82" s="15">
        <v>-0.21333333333333329</v>
      </c>
      <c r="G82" s="15">
        <v>0.17777777777777781</v>
      </c>
      <c r="H82" s="15">
        <v>12</v>
      </c>
      <c r="I82" s="15" t="s">
        <v>443</v>
      </c>
      <c r="J82" s="17">
        <f t="shared" si="1"/>
        <v>1</v>
      </c>
    </row>
    <row r="83" spans="1:10" x14ac:dyDescent="0.4">
      <c r="A83" s="16" t="s">
        <v>446</v>
      </c>
      <c r="B83" s="15" t="s">
        <v>562</v>
      </c>
      <c r="C83" s="15" t="s">
        <v>197</v>
      </c>
      <c r="D83" s="15" t="s">
        <v>563</v>
      </c>
      <c r="E83" s="15" t="s">
        <v>444</v>
      </c>
      <c r="F83" s="15">
        <v>0.26</v>
      </c>
      <c r="G83" s="15">
        <v>0.2</v>
      </c>
      <c r="H83" s="15">
        <v>12</v>
      </c>
      <c r="I83" s="15" t="s">
        <v>443</v>
      </c>
      <c r="J83" s="17">
        <f t="shared" si="1"/>
        <v>0</v>
      </c>
    </row>
    <row r="84" spans="1:10" x14ac:dyDescent="0.4">
      <c r="A84" s="16" t="s">
        <v>446</v>
      </c>
      <c r="B84" s="15" t="s">
        <v>564</v>
      </c>
      <c r="C84" s="15" t="s">
        <v>197</v>
      </c>
      <c r="D84" s="15" t="s">
        <v>565</v>
      </c>
      <c r="E84" s="15" t="s">
        <v>443</v>
      </c>
      <c r="F84" s="15">
        <v>-0.53714285714285714</v>
      </c>
      <c r="G84" s="15">
        <v>0.1142857142857143</v>
      </c>
      <c r="H84" s="15">
        <v>13</v>
      </c>
      <c r="I84" s="15" t="s">
        <v>443</v>
      </c>
      <c r="J84" s="17">
        <f t="shared" si="1"/>
        <v>1</v>
      </c>
    </row>
    <row r="85" spans="1:10" x14ac:dyDescent="0.4">
      <c r="A85" s="16" t="s">
        <v>446</v>
      </c>
      <c r="B85" s="15" t="s">
        <v>566</v>
      </c>
      <c r="C85" s="15" t="s">
        <v>229</v>
      </c>
      <c r="D85" s="15" t="s">
        <v>567</v>
      </c>
      <c r="E85" s="15" t="s">
        <v>443</v>
      </c>
      <c r="F85" s="15">
        <v>-0.54</v>
      </c>
      <c r="G85" s="15">
        <v>0.45</v>
      </c>
      <c r="H85" s="15">
        <v>8</v>
      </c>
      <c r="I85" s="15" t="s">
        <v>443</v>
      </c>
      <c r="J85" s="17">
        <f t="shared" si="1"/>
        <v>1</v>
      </c>
    </row>
    <row r="86" spans="1:10" x14ac:dyDescent="0.4">
      <c r="A86" s="16" t="s">
        <v>446</v>
      </c>
      <c r="B86" s="15" t="s">
        <v>568</v>
      </c>
      <c r="C86" s="15" t="s">
        <v>197</v>
      </c>
      <c r="D86" s="15" t="s">
        <v>569</v>
      </c>
      <c r="E86" s="15" t="s">
        <v>442</v>
      </c>
      <c r="F86" s="15">
        <v>3.6666666666666653E-2</v>
      </c>
      <c r="G86" s="15">
        <v>0.17777777777777781</v>
      </c>
      <c r="H86" s="15">
        <v>9</v>
      </c>
      <c r="I86" s="15" t="s">
        <v>443</v>
      </c>
      <c r="J86" s="17">
        <f t="shared" si="1"/>
        <v>0</v>
      </c>
    </row>
    <row r="87" spans="1:10" x14ac:dyDescent="0.4">
      <c r="A87" s="16" t="s">
        <v>446</v>
      </c>
      <c r="B87" s="15" t="s">
        <v>570</v>
      </c>
      <c r="C87" s="15" t="s">
        <v>188</v>
      </c>
      <c r="D87" s="15" t="s">
        <v>571</v>
      </c>
      <c r="E87" s="15" t="s">
        <v>443</v>
      </c>
      <c r="F87" s="15">
        <v>-0.28799999999999998</v>
      </c>
      <c r="G87" s="15">
        <v>0.24</v>
      </c>
      <c r="H87" s="15">
        <v>11</v>
      </c>
      <c r="I87" s="15" t="s">
        <v>443</v>
      </c>
      <c r="J87" s="17">
        <f t="shared" si="1"/>
        <v>1</v>
      </c>
    </row>
    <row r="88" spans="1:10" x14ac:dyDescent="0.4">
      <c r="A88" s="16" t="s">
        <v>446</v>
      </c>
      <c r="B88" s="15" t="s">
        <v>572</v>
      </c>
      <c r="C88" s="15" t="s">
        <v>188</v>
      </c>
      <c r="D88" s="15" t="s">
        <v>573</v>
      </c>
      <c r="E88" s="15" t="s">
        <v>443</v>
      </c>
      <c r="F88" s="15">
        <v>-0.41142857142857142</v>
      </c>
      <c r="G88" s="15">
        <v>0.34285714285714292</v>
      </c>
      <c r="H88" s="15">
        <v>9</v>
      </c>
      <c r="I88" s="15" t="s">
        <v>443</v>
      </c>
      <c r="J88" s="17">
        <f t="shared" si="1"/>
        <v>1</v>
      </c>
    </row>
    <row r="89" spans="1:10" x14ac:dyDescent="0.4">
      <c r="A89" s="16" t="s">
        <v>446</v>
      </c>
      <c r="B89" s="15" t="s">
        <v>574</v>
      </c>
      <c r="C89" s="15" t="s">
        <v>213</v>
      </c>
      <c r="D89" s="15" t="s">
        <v>575</v>
      </c>
      <c r="E89" s="15" t="s">
        <v>443</v>
      </c>
      <c r="F89" s="15">
        <v>-0.36</v>
      </c>
      <c r="G89" s="15">
        <v>0.3</v>
      </c>
      <c r="H89" s="15">
        <v>10</v>
      </c>
      <c r="I89" s="15" t="s">
        <v>443</v>
      </c>
      <c r="J89" s="17">
        <f t="shared" si="1"/>
        <v>1</v>
      </c>
    </row>
    <row r="90" spans="1:10" x14ac:dyDescent="0.4">
      <c r="A90" s="16" t="s">
        <v>446</v>
      </c>
      <c r="B90" s="15" t="s">
        <v>576</v>
      </c>
      <c r="C90" s="15" t="s">
        <v>197</v>
      </c>
      <c r="D90" s="15" t="s">
        <v>577</v>
      </c>
      <c r="E90" s="15" t="s">
        <v>444</v>
      </c>
      <c r="F90" s="15">
        <v>0.24142857142857141</v>
      </c>
      <c r="G90" s="15">
        <v>0.1333333333333333</v>
      </c>
      <c r="H90" s="15">
        <v>10</v>
      </c>
      <c r="I90" s="15" t="s">
        <v>443</v>
      </c>
      <c r="J90" s="17">
        <f t="shared" si="1"/>
        <v>0</v>
      </c>
    </row>
    <row r="91" spans="1:10" x14ac:dyDescent="0.4">
      <c r="A91" s="16" t="s">
        <v>446</v>
      </c>
      <c r="B91" s="15" t="s">
        <v>578</v>
      </c>
      <c r="C91" s="15" t="s">
        <v>217</v>
      </c>
      <c r="D91" s="15" t="s">
        <v>579</v>
      </c>
      <c r="E91" s="15" t="s">
        <v>442</v>
      </c>
      <c r="F91" s="15">
        <v>7.8910714285714292E-2</v>
      </c>
      <c r="G91" s="15">
        <v>5.1428571428571428E-2</v>
      </c>
      <c r="H91" s="15">
        <v>14</v>
      </c>
      <c r="I91" s="15" t="s">
        <v>442</v>
      </c>
      <c r="J91" s="17">
        <f t="shared" si="1"/>
        <v>1</v>
      </c>
    </row>
    <row r="92" spans="1:10" x14ac:dyDescent="0.4">
      <c r="A92" s="16" t="s">
        <v>446</v>
      </c>
      <c r="B92" s="15" t="s">
        <v>580</v>
      </c>
      <c r="C92" s="15" t="s">
        <v>197</v>
      </c>
      <c r="D92" s="15" t="s">
        <v>581</v>
      </c>
      <c r="E92" s="15" t="s">
        <v>442</v>
      </c>
      <c r="F92" s="15">
        <v>5.6428571428571439E-2</v>
      </c>
      <c r="G92" s="15">
        <v>5.7142857142857141E-2</v>
      </c>
      <c r="H92" s="15">
        <v>14</v>
      </c>
      <c r="I92" s="15" t="s">
        <v>442</v>
      </c>
      <c r="J92" s="17">
        <f t="shared" si="1"/>
        <v>1</v>
      </c>
    </row>
    <row r="93" spans="1:10" x14ac:dyDescent="0.4">
      <c r="A93" s="16" t="s">
        <v>446</v>
      </c>
      <c r="B93" s="15" t="s">
        <v>582</v>
      </c>
      <c r="C93" s="15" t="s">
        <v>197</v>
      </c>
      <c r="D93" s="15" t="s">
        <v>583</v>
      </c>
      <c r="E93" s="15" t="s">
        <v>443</v>
      </c>
      <c r="F93" s="15">
        <v>-0.12333333333333329</v>
      </c>
      <c r="G93" s="15">
        <v>8.8888888888888892E-2</v>
      </c>
      <c r="H93" s="15">
        <v>13</v>
      </c>
      <c r="I93" s="15" t="s">
        <v>444</v>
      </c>
      <c r="J93" s="17">
        <f t="shared" si="1"/>
        <v>0</v>
      </c>
    </row>
    <row r="94" spans="1:10" x14ac:dyDescent="0.4">
      <c r="A94" s="16" t="s">
        <v>446</v>
      </c>
      <c r="B94" s="15" t="s">
        <v>584</v>
      </c>
      <c r="C94" s="15" t="s">
        <v>235</v>
      </c>
      <c r="D94" s="15" t="s">
        <v>585</v>
      </c>
      <c r="E94" s="15" t="s">
        <v>443</v>
      </c>
      <c r="F94" s="15">
        <v>-0.55500000000000005</v>
      </c>
      <c r="G94" s="15">
        <v>0.36249999999999999</v>
      </c>
      <c r="H94" s="15">
        <v>6</v>
      </c>
      <c r="I94" s="15" t="s">
        <v>443</v>
      </c>
      <c r="J94" s="17">
        <f t="shared" si="1"/>
        <v>1</v>
      </c>
    </row>
    <row r="95" spans="1:10" x14ac:dyDescent="0.4">
      <c r="A95" s="16" t="s">
        <v>446</v>
      </c>
      <c r="B95" s="15" t="s">
        <v>586</v>
      </c>
      <c r="C95" s="15" t="s">
        <v>197</v>
      </c>
      <c r="D95" s="15" t="s">
        <v>587</v>
      </c>
      <c r="E95" s="15" t="s">
        <v>443</v>
      </c>
      <c r="F95" s="15">
        <v>-0.16</v>
      </c>
      <c r="G95" s="15">
        <v>0.26666666666666672</v>
      </c>
      <c r="H95" s="15">
        <v>8</v>
      </c>
      <c r="I95" s="15" t="s">
        <v>443</v>
      </c>
      <c r="J95" s="17">
        <f t="shared" si="1"/>
        <v>1</v>
      </c>
    </row>
    <row r="96" spans="1:10" x14ac:dyDescent="0.4">
      <c r="A96" s="16" t="s">
        <v>446</v>
      </c>
      <c r="B96" s="15" t="s">
        <v>588</v>
      </c>
      <c r="C96" s="15" t="s">
        <v>197</v>
      </c>
      <c r="D96" s="15" t="s">
        <v>589</v>
      </c>
      <c r="E96" s="15" t="s">
        <v>443</v>
      </c>
      <c r="F96" s="15">
        <v>-0.22176767676767681</v>
      </c>
      <c r="G96" s="15">
        <v>0.1</v>
      </c>
      <c r="H96" s="15">
        <v>13</v>
      </c>
      <c r="I96" s="15" t="s">
        <v>443</v>
      </c>
      <c r="J96" s="17">
        <f t="shared" si="1"/>
        <v>1</v>
      </c>
    </row>
    <row r="97" spans="1:10" x14ac:dyDescent="0.4">
      <c r="A97" s="16" t="s">
        <v>446</v>
      </c>
      <c r="B97" s="15" t="s">
        <v>590</v>
      </c>
      <c r="C97" s="15" t="s">
        <v>188</v>
      </c>
      <c r="D97" s="15" t="s">
        <v>591</v>
      </c>
      <c r="E97" s="15" t="s">
        <v>443</v>
      </c>
      <c r="F97" s="15">
        <v>-0.41142857142857142</v>
      </c>
      <c r="G97" s="15">
        <v>0.34285714285714292</v>
      </c>
      <c r="H97" s="15">
        <v>9</v>
      </c>
      <c r="I97" s="15" t="s">
        <v>443</v>
      </c>
      <c r="J97" s="17">
        <f t="shared" si="1"/>
        <v>1</v>
      </c>
    </row>
    <row r="98" spans="1:10" x14ac:dyDescent="0.4">
      <c r="A98" s="16" t="s">
        <v>446</v>
      </c>
      <c r="B98" s="15" t="s">
        <v>592</v>
      </c>
      <c r="C98" s="15" t="s">
        <v>197</v>
      </c>
      <c r="D98" s="15" t="s">
        <v>593</v>
      </c>
      <c r="E98" s="15" t="s">
        <v>443</v>
      </c>
      <c r="F98" s="15">
        <v>-0.24</v>
      </c>
      <c r="G98" s="15">
        <v>0.2</v>
      </c>
      <c r="H98" s="15">
        <v>12</v>
      </c>
      <c r="I98" s="15" t="s">
        <v>443</v>
      </c>
      <c r="J98" s="17">
        <f t="shared" si="1"/>
        <v>1</v>
      </c>
    </row>
    <row r="99" spans="1:10" x14ac:dyDescent="0.4">
      <c r="A99" s="16" t="s">
        <v>446</v>
      </c>
      <c r="B99" s="15" t="s">
        <v>594</v>
      </c>
      <c r="C99" s="15" t="s">
        <v>230</v>
      </c>
      <c r="D99" s="15" t="s">
        <v>595</v>
      </c>
      <c r="E99" s="15" t="s">
        <v>443</v>
      </c>
      <c r="F99" s="15">
        <v>-0.38641025641025639</v>
      </c>
      <c r="G99" s="15">
        <v>0.26923076923076922</v>
      </c>
      <c r="H99" s="15">
        <v>10</v>
      </c>
      <c r="I99" s="15" t="s">
        <v>443</v>
      </c>
      <c r="J99" s="17">
        <f t="shared" si="1"/>
        <v>1</v>
      </c>
    </row>
    <row r="100" spans="1:10" x14ac:dyDescent="0.4">
      <c r="A100" s="16" t="s">
        <v>446</v>
      </c>
      <c r="B100" s="15" t="s">
        <v>596</v>
      </c>
      <c r="C100" s="15" t="s">
        <v>197</v>
      </c>
      <c r="D100" s="15" t="s">
        <v>597</v>
      </c>
      <c r="E100" s="15" t="s">
        <v>442</v>
      </c>
      <c r="F100" s="15">
        <v>7.4090909090909068E-2</v>
      </c>
      <c r="G100" s="15">
        <v>0.1333333333333333</v>
      </c>
      <c r="H100" s="15">
        <v>13</v>
      </c>
      <c r="I100" s="15" t="s">
        <v>444</v>
      </c>
      <c r="J100" s="17">
        <f t="shared" si="1"/>
        <v>0</v>
      </c>
    </row>
    <row r="101" spans="1:10" x14ac:dyDescent="0.4">
      <c r="A101" s="16" t="s">
        <v>446</v>
      </c>
      <c r="B101" s="15" t="s">
        <v>598</v>
      </c>
      <c r="C101" s="15" t="s">
        <v>216</v>
      </c>
      <c r="D101" s="15" t="s">
        <v>599</v>
      </c>
      <c r="E101" s="15" t="s">
        <v>443</v>
      </c>
      <c r="F101" s="15">
        <v>-0.14999999999999991</v>
      </c>
      <c r="G101" s="15">
        <v>0</v>
      </c>
      <c r="H101" s="15">
        <v>15</v>
      </c>
      <c r="I101" s="15" t="s">
        <v>443</v>
      </c>
      <c r="J101" s="17">
        <f t="shared" si="1"/>
        <v>1</v>
      </c>
    </row>
    <row r="102" spans="1:10" x14ac:dyDescent="0.4">
      <c r="A102" s="16" t="s">
        <v>446</v>
      </c>
      <c r="B102" s="15" t="s">
        <v>600</v>
      </c>
      <c r="C102" s="15" t="s">
        <v>197</v>
      </c>
      <c r="D102" s="15" t="s">
        <v>601</v>
      </c>
      <c r="E102" s="15" t="s">
        <v>444</v>
      </c>
      <c r="F102" s="15">
        <v>0.12333333333333341</v>
      </c>
      <c r="G102" s="15">
        <v>8.8888888888888892E-2</v>
      </c>
      <c r="H102" s="15">
        <v>13</v>
      </c>
      <c r="I102" s="15" t="s">
        <v>444</v>
      </c>
      <c r="J102" s="17">
        <f t="shared" si="1"/>
        <v>1</v>
      </c>
    </row>
    <row r="103" spans="1:10" x14ac:dyDescent="0.4">
      <c r="A103" s="16" t="s">
        <v>8</v>
      </c>
      <c r="B103" s="15" t="s">
        <v>9</v>
      </c>
      <c r="C103" s="15" t="s">
        <v>197</v>
      </c>
      <c r="D103" s="15" t="s">
        <v>242</v>
      </c>
      <c r="E103" s="15" t="s">
        <v>443</v>
      </c>
      <c r="F103" s="15" t="s">
        <v>443</v>
      </c>
      <c r="G103" s="15" t="s">
        <v>443</v>
      </c>
      <c r="H103" s="15" t="s">
        <v>443</v>
      </c>
      <c r="I103" s="15" t="s">
        <v>443</v>
      </c>
      <c r="J103" s="17">
        <f t="shared" si="1"/>
        <v>1</v>
      </c>
    </row>
    <row r="104" spans="1:10" x14ac:dyDescent="0.4">
      <c r="A104" s="16" t="s">
        <v>8</v>
      </c>
      <c r="B104" s="15" t="s">
        <v>10</v>
      </c>
      <c r="C104" s="15" t="s">
        <v>188</v>
      </c>
      <c r="D104" s="15" t="s">
        <v>243</v>
      </c>
      <c r="E104" s="15" t="s">
        <v>443</v>
      </c>
      <c r="F104" s="15">
        <v>-9.4805194805194781E-3</v>
      </c>
      <c r="G104" s="15">
        <v>0.2</v>
      </c>
      <c r="H104" s="15">
        <v>12</v>
      </c>
      <c r="I104" s="15" t="s">
        <v>443</v>
      </c>
      <c r="J104" s="17">
        <f t="shared" si="1"/>
        <v>1</v>
      </c>
    </row>
    <row r="105" spans="1:10" x14ac:dyDescent="0.4">
      <c r="A105" s="16" t="s">
        <v>8</v>
      </c>
      <c r="B105" s="15" t="s">
        <v>11</v>
      </c>
      <c r="C105" s="15" t="s">
        <v>215</v>
      </c>
      <c r="D105" s="15" t="s">
        <v>244</v>
      </c>
      <c r="E105" s="15" t="s">
        <v>443</v>
      </c>
      <c r="F105" s="15">
        <v>0</v>
      </c>
      <c r="G105" s="15">
        <v>0</v>
      </c>
      <c r="H105" s="15">
        <v>15</v>
      </c>
      <c r="I105" s="15" t="s">
        <v>443</v>
      </c>
      <c r="J105" s="17">
        <f t="shared" si="1"/>
        <v>1</v>
      </c>
    </row>
    <row r="106" spans="1:10" x14ac:dyDescent="0.4">
      <c r="A106" s="16" t="s">
        <v>8</v>
      </c>
      <c r="B106" s="15" t="s">
        <v>12</v>
      </c>
      <c r="C106" s="15" t="s">
        <v>211</v>
      </c>
      <c r="D106" s="15" t="s">
        <v>245</v>
      </c>
      <c r="E106" s="15" t="s">
        <v>443</v>
      </c>
      <c r="F106" s="15" t="s">
        <v>443</v>
      </c>
      <c r="G106" s="15" t="s">
        <v>443</v>
      </c>
      <c r="H106" s="15" t="s">
        <v>443</v>
      </c>
      <c r="I106" s="15" t="s">
        <v>443</v>
      </c>
      <c r="J106" s="17">
        <f t="shared" si="1"/>
        <v>1</v>
      </c>
    </row>
    <row r="107" spans="1:10" x14ac:dyDescent="0.4">
      <c r="A107" s="16" t="s">
        <v>8</v>
      </c>
      <c r="B107" s="15" t="s">
        <v>13</v>
      </c>
      <c r="C107" s="15" t="s">
        <v>211</v>
      </c>
      <c r="D107" s="15" t="s">
        <v>246</v>
      </c>
      <c r="E107" s="15" t="s">
        <v>443</v>
      </c>
      <c r="F107" s="15" t="s">
        <v>443</v>
      </c>
      <c r="G107" s="15" t="s">
        <v>443</v>
      </c>
      <c r="H107" s="15" t="s">
        <v>443</v>
      </c>
      <c r="I107" s="15" t="s">
        <v>443</v>
      </c>
      <c r="J107" s="17">
        <f t="shared" si="1"/>
        <v>1</v>
      </c>
    </row>
    <row r="108" spans="1:10" x14ac:dyDescent="0.4">
      <c r="A108" s="16" t="s">
        <v>8</v>
      </c>
      <c r="B108" s="15" t="s">
        <v>14</v>
      </c>
      <c r="C108" s="15" t="s">
        <v>217</v>
      </c>
      <c r="D108" s="15" t="s">
        <v>247</v>
      </c>
      <c r="E108" s="15" t="s">
        <v>443</v>
      </c>
      <c r="F108" s="15" t="s">
        <v>443</v>
      </c>
      <c r="G108" s="15" t="s">
        <v>443</v>
      </c>
      <c r="H108" s="15" t="s">
        <v>443</v>
      </c>
      <c r="I108" s="15" t="s">
        <v>443</v>
      </c>
      <c r="J108" s="17">
        <f t="shared" si="1"/>
        <v>1</v>
      </c>
    </row>
    <row r="109" spans="1:10" x14ac:dyDescent="0.4">
      <c r="A109" s="16" t="s">
        <v>8</v>
      </c>
      <c r="B109" s="15" t="s">
        <v>15</v>
      </c>
      <c r="C109" s="15" t="s">
        <v>211</v>
      </c>
      <c r="D109" s="15" t="s">
        <v>248</v>
      </c>
      <c r="E109" s="15" t="s">
        <v>443</v>
      </c>
      <c r="F109" s="15" t="s">
        <v>443</v>
      </c>
      <c r="G109" s="15" t="s">
        <v>443</v>
      </c>
      <c r="H109" s="15" t="s">
        <v>443</v>
      </c>
      <c r="I109" s="15" t="s">
        <v>443</v>
      </c>
      <c r="J109" s="17">
        <f t="shared" si="1"/>
        <v>1</v>
      </c>
    </row>
    <row r="110" spans="1:10" x14ac:dyDescent="0.4">
      <c r="A110" s="16" t="s">
        <v>8</v>
      </c>
      <c r="B110" s="15" t="s">
        <v>16</v>
      </c>
      <c r="C110" s="15" t="s">
        <v>217</v>
      </c>
      <c r="D110" s="15" t="s">
        <v>249</v>
      </c>
      <c r="E110" s="15" t="s">
        <v>443</v>
      </c>
      <c r="F110" s="15" t="s">
        <v>443</v>
      </c>
      <c r="G110" s="15" t="s">
        <v>443</v>
      </c>
      <c r="H110" s="15" t="s">
        <v>443</v>
      </c>
      <c r="I110" s="15" t="s">
        <v>443</v>
      </c>
      <c r="J110" s="17">
        <f t="shared" si="1"/>
        <v>1</v>
      </c>
    </row>
    <row r="111" spans="1:10" x14ac:dyDescent="0.4">
      <c r="A111" s="16" t="s">
        <v>8</v>
      </c>
      <c r="B111" s="15" t="s">
        <v>17</v>
      </c>
      <c r="C111" s="15" t="s">
        <v>217</v>
      </c>
      <c r="D111" s="15" t="s">
        <v>250</v>
      </c>
      <c r="E111" s="15" t="s">
        <v>443</v>
      </c>
      <c r="F111" s="15" t="s">
        <v>443</v>
      </c>
      <c r="G111" s="15" t="s">
        <v>443</v>
      </c>
      <c r="H111" s="15" t="s">
        <v>443</v>
      </c>
      <c r="I111" s="15" t="s">
        <v>443</v>
      </c>
      <c r="J111" s="17">
        <f t="shared" si="1"/>
        <v>1</v>
      </c>
    </row>
    <row r="112" spans="1:10" x14ac:dyDescent="0.4">
      <c r="A112" s="16" t="s">
        <v>8</v>
      </c>
      <c r="B112" s="15" t="s">
        <v>18</v>
      </c>
      <c r="C112" s="15" t="s">
        <v>217</v>
      </c>
      <c r="D112" s="15" t="s">
        <v>251</v>
      </c>
      <c r="E112" s="15" t="s">
        <v>443</v>
      </c>
      <c r="F112" s="15" t="s">
        <v>443</v>
      </c>
      <c r="G112" s="15" t="s">
        <v>443</v>
      </c>
      <c r="H112" s="15" t="s">
        <v>443</v>
      </c>
      <c r="I112" s="15" t="s">
        <v>443</v>
      </c>
      <c r="J112" s="17">
        <f t="shared" si="1"/>
        <v>1</v>
      </c>
    </row>
    <row r="113" spans="1:10" x14ac:dyDescent="0.4">
      <c r="A113" s="16" t="s">
        <v>8</v>
      </c>
      <c r="B113" s="15" t="s">
        <v>19</v>
      </c>
      <c r="C113" s="15" t="s">
        <v>197</v>
      </c>
      <c r="D113" s="15" t="s">
        <v>252</v>
      </c>
      <c r="E113" s="15" t="s">
        <v>443</v>
      </c>
      <c r="F113" s="15">
        <v>0.14051948051948049</v>
      </c>
      <c r="G113" s="15">
        <v>5.7142857142857141E-2</v>
      </c>
      <c r="H113" s="15">
        <v>14</v>
      </c>
      <c r="I113" s="15" t="s">
        <v>443</v>
      </c>
      <c r="J113" s="17">
        <f t="shared" si="1"/>
        <v>1</v>
      </c>
    </row>
    <row r="114" spans="1:10" x14ac:dyDescent="0.4">
      <c r="A114" s="16" t="s">
        <v>8</v>
      </c>
      <c r="B114" s="15" t="s">
        <v>20</v>
      </c>
      <c r="C114" s="15" t="s">
        <v>197</v>
      </c>
      <c r="D114" s="15" t="s">
        <v>253</v>
      </c>
      <c r="E114" s="15" t="s">
        <v>444</v>
      </c>
      <c r="F114" s="15">
        <v>0.29152173913043478</v>
      </c>
      <c r="G114" s="15">
        <v>6.9565217391304349E-2</v>
      </c>
      <c r="H114" s="15">
        <v>13</v>
      </c>
      <c r="I114" s="15" t="s">
        <v>444</v>
      </c>
      <c r="J114" s="17">
        <f t="shared" si="1"/>
        <v>1</v>
      </c>
    </row>
    <row r="115" spans="1:10" x14ac:dyDescent="0.4">
      <c r="A115" s="16" t="s">
        <v>8</v>
      </c>
      <c r="B115" s="15" t="s">
        <v>21</v>
      </c>
      <c r="C115" s="15" t="s">
        <v>197</v>
      </c>
      <c r="D115" s="15" t="s">
        <v>254</v>
      </c>
      <c r="E115" s="15" t="s">
        <v>443</v>
      </c>
      <c r="F115" s="15" t="s">
        <v>443</v>
      </c>
      <c r="G115" s="15" t="s">
        <v>443</v>
      </c>
      <c r="H115" s="15" t="s">
        <v>443</v>
      </c>
      <c r="I115" s="15" t="s">
        <v>443</v>
      </c>
      <c r="J115" s="17">
        <f t="shared" si="1"/>
        <v>1</v>
      </c>
    </row>
    <row r="116" spans="1:10" x14ac:dyDescent="0.4">
      <c r="A116" s="16" t="s">
        <v>8</v>
      </c>
      <c r="B116" s="15" t="s">
        <v>22</v>
      </c>
      <c r="C116" s="15" t="s">
        <v>217</v>
      </c>
      <c r="D116" s="15" t="s">
        <v>255</v>
      </c>
      <c r="E116" s="15" t="s">
        <v>443</v>
      </c>
      <c r="F116" s="15">
        <v>7.0303030303030312E-2</v>
      </c>
      <c r="G116" s="15">
        <v>0.16363636363636361</v>
      </c>
      <c r="H116" s="15">
        <v>12</v>
      </c>
      <c r="I116" s="15" t="s">
        <v>443</v>
      </c>
      <c r="J116" s="17">
        <f t="shared" si="1"/>
        <v>1</v>
      </c>
    </row>
    <row r="117" spans="1:10" x14ac:dyDescent="0.4">
      <c r="A117" s="16" t="s">
        <v>8</v>
      </c>
      <c r="B117" s="15" t="s">
        <v>23</v>
      </c>
      <c r="C117" s="15" t="s">
        <v>197</v>
      </c>
      <c r="D117" s="15" t="s">
        <v>256</v>
      </c>
      <c r="E117" s="15" t="s">
        <v>443</v>
      </c>
      <c r="F117" s="15">
        <v>-0.14000000000000001</v>
      </c>
      <c r="G117" s="15">
        <v>0.2</v>
      </c>
      <c r="H117" s="15">
        <v>12</v>
      </c>
      <c r="I117" s="15" t="s">
        <v>443</v>
      </c>
      <c r="J117" s="17">
        <f t="shared" si="1"/>
        <v>1</v>
      </c>
    </row>
    <row r="118" spans="1:10" x14ac:dyDescent="0.4">
      <c r="A118" s="16" t="s">
        <v>8</v>
      </c>
      <c r="B118" s="15" t="s">
        <v>24</v>
      </c>
      <c r="C118" s="15" t="s">
        <v>219</v>
      </c>
      <c r="D118" s="15" t="s">
        <v>257</v>
      </c>
      <c r="E118" s="15" t="s">
        <v>442</v>
      </c>
      <c r="F118" s="15">
        <v>-3.1428571428571438E-2</v>
      </c>
      <c r="G118" s="15">
        <v>0.19285714285714289</v>
      </c>
      <c r="H118" s="15">
        <v>12</v>
      </c>
      <c r="I118" s="15" t="s">
        <v>442</v>
      </c>
      <c r="J118" s="17">
        <f t="shared" si="1"/>
        <v>1</v>
      </c>
    </row>
    <row r="119" spans="1:10" x14ac:dyDescent="0.4">
      <c r="A119" s="16" t="s">
        <v>8</v>
      </c>
      <c r="B119" s="15" t="s">
        <v>25</v>
      </c>
      <c r="C119" s="15" t="s">
        <v>211</v>
      </c>
      <c r="D119" s="15" t="s">
        <v>258</v>
      </c>
      <c r="E119" s="15" t="s">
        <v>443</v>
      </c>
      <c r="F119" s="15" t="s">
        <v>443</v>
      </c>
      <c r="G119" s="15" t="s">
        <v>443</v>
      </c>
      <c r="H119" s="15" t="s">
        <v>443</v>
      </c>
      <c r="I119" s="15" t="s">
        <v>443</v>
      </c>
      <c r="J119" s="17">
        <f t="shared" si="1"/>
        <v>1</v>
      </c>
    </row>
    <row r="120" spans="1:10" x14ac:dyDescent="0.4">
      <c r="A120" s="16" t="s">
        <v>8</v>
      </c>
      <c r="B120" s="15" t="s">
        <v>26</v>
      </c>
      <c r="C120" s="15" t="s">
        <v>211</v>
      </c>
      <c r="D120" s="15" t="s">
        <v>259</v>
      </c>
      <c r="E120" s="15" t="s">
        <v>443</v>
      </c>
      <c r="F120" s="15" t="s">
        <v>443</v>
      </c>
      <c r="G120" s="15" t="s">
        <v>443</v>
      </c>
      <c r="H120" s="15" t="s">
        <v>443</v>
      </c>
      <c r="I120" s="15" t="s">
        <v>443</v>
      </c>
      <c r="J120" s="17">
        <f t="shared" si="1"/>
        <v>1</v>
      </c>
    </row>
    <row r="121" spans="1:10" x14ac:dyDescent="0.4">
      <c r="A121" s="16" t="s">
        <v>8</v>
      </c>
      <c r="B121" s="15" t="s">
        <v>27</v>
      </c>
      <c r="C121" s="15" t="s">
        <v>197</v>
      </c>
      <c r="D121" s="15" t="s">
        <v>260</v>
      </c>
      <c r="E121" s="15" t="s">
        <v>444</v>
      </c>
      <c r="F121" s="15">
        <v>-0.128</v>
      </c>
      <c r="G121" s="15">
        <v>0.1066666666666667</v>
      </c>
      <c r="H121" s="15">
        <v>13</v>
      </c>
      <c r="I121" s="15" t="s">
        <v>444</v>
      </c>
      <c r="J121" s="17">
        <f t="shared" si="1"/>
        <v>1</v>
      </c>
    </row>
    <row r="122" spans="1:10" x14ac:dyDescent="0.4">
      <c r="A122" s="16" t="s">
        <v>8</v>
      </c>
      <c r="B122" s="15" t="s">
        <v>28</v>
      </c>
      <c r="C122" s="15" t="s">
        <v>216</v>
      </c>
      <c r="D122" s="15" t="s">
        <v>261</v>
      </c>
      <c r="E122" s="15" t="s">
        <v>442</v>
      </c>
      <c r="F122" s="15">
        <v>-7.4181547619047605E-2</v>
      </c>
      <c r="G122" s="15">
        <v>0</v>
      </c>
      <c r="H122" s="15">
        <v>15</v>
      </c>
      <c r="I122" s="15" t="s">
        <v>442</v>
      </c>
      <c r="J122" s="17">
        <f t="shared" si="1"/>
        <v>1</v>
      </c>
    </row>
    <row r="123" spans="1:10" x14ac:dyDescent="0.4">
      <c r="A123" s="16" t="s">
        <v>8</v>
      </c>
      <c r="B123" s="15" t="s">
        <v>29</v>
      </c>
      <c r="C123" s="15" t="s">
        <v>217</v>
      </c>
      <c r="D123" s="15" t="s">
        <v>262</v>
      </c>
      <c r="E123" s="15" t="s">
        <v>443</v>
      </c>
      <c r="F123" s="15" t="s">
        <v>443</v>
      </c>
      <c r="G123" s="15" t="s">
        <v>443</v>
      </c>
      <c r="H123" s="15" t="s">
        <v>443</v>
      </c>
      <c r="I123" s="15" t="s">
        <v>443</v>
      </c>
      <c r="J123" s="17">
        <f t="shared" si="1"/>
        <v>1</v>
      </c>
    </row>
    <row r="124" spans="1:10" x14ac:dyDescent="0.4">
      <c r="A124" s="16" t="s">
        <v>8</v>
      </c>
      <c r="B124" s="15" t="s">
        <v>30</v>
      </c>
      <c r="C124" s="15" t="s">
        <v>220</v>
      </c>
      <c r="D124" s="15" t="s">
        <v>263</v>
      </c>
      <c r="E124" s="15" t="s">
        <v>443</v>
      </c>
      <c r="F124" s="15" t="s">
        <v>443</v>
      </c>
      <c r="G124" s="15" t="s">
        <v>443</v>
      </c>
      <c r="H124" s="15" t="s">
        <v>443</v>
      </c>
      <c r="I124" s="15" t="s">
        <v>443</v>
      </c>
      <c r="J124" s="17">
        <f t="shared" si="1"/>
        <v>1</v>
      </c>
    </row>
    <row r="125" spans="1:10" x14ac:dyDescent="0.4">
      <c r="A125" s="16" t="s">
        <v>8</v>
      </c>
      <c r="B125" s="15" t="s">
        <v>31</v>
      </c>
      <c r="C125" s="15" t="s">
        <v>221</v>
      </c>
      <c r="D125" s="15" t="s">
        <v>264</v>
      </c>
      <c r="E125" s="15" t="s">
        <v>443</v>
      </c>
      <c r="F125" s="15">
        <v>0.10492424242424241</v>
      </c>
      <c r="G125" s="15">
        <v>0</v>
      </c>
      <c r="H125" s="15">
        <v>15</v>
      </c>
      <c r="I125" s="15" t="s">
        <v>443</v>
      </c>
      <c r="J125" s="17">
        <f t="shared" si="1"/>
        <v>1</v>
      </c>
    </row>
    <row r="126" spans="1:10" x14ac:dyDescent="0.4">
      <c r="A126" s="16" t="s">
        <v>8</v>
      </c>
      <c r="B126" s="15" t="s">
        <v>32</v>
      </c>
      <c r="C126" s="15" t="s">
        <v>222</v>
      </c>
      <c r="D126" s="15" t="s">
        <v>265</v>
      </c>
      <c r="E126" s="15" t="s">
        <v>443</v>
      </c>
      <c r="F126" s="15">
        <v>-0.18</v>
      </c>
      <c r="G126" s="15">
        <v>0.15</v>
      </c>
      <c r="H126" s="15">
        <v>12</v>
      </c>
      <c r="I126" s="15" t="s">
        <v>443</v>
      </c>
      <c r="J126" s="17">
        <f t="shared" si="1"/>
        <v>1</v>
      </c>
    </row>
    <row r="127" spans="1:10" x14ac:dyDescent="0.4">
      <c r="A127" s="16" t="s">
        <v>8</v>
      </c>
      <c r="B127" s="15" t="s">
        <v>33</v>
      </c>
      <c r="C127" s="15" t="s">
        <v>197</v>
      </c>
      <c r="D127" s="15" t="s">
        <v>266</v>
      </c>
      <c r="E127" s="15" t="s">
        <v>443</v>
      </c>
      <c r="F127" s="15">
        <v>-0.21178571428571419</v>
      </c>
      <c r="G127" s="15">
        <v>0.22857142857142859</v>
      </c>
      <c r="H127" s="15">
        <v>11</v>
      </c>
      <c r="I127" s="15" t="s">
        <v>443</v>
      </c>
      <c r="J127" s="17">
        <f t="shared" si="1"/>
        <v>1</v>
      </c>
    </row>
    <row r="128" spans="1:10" x14ac:dyDescent="0.4">
      <c r="A128" s="16" t="s">
        <v>8</v>
      </c>
      <c r="B128" s="15" t="s">
        <v>34</v>
      </c>
      <c r="C128" s="15" t="s">
        <v>211</v>
      </c>
      <c r="D128" s="15" t="s">
        <v>267</v>
      </c>
      <c r="E128" s="15" t="s">
        <v>443</v>
      </c>
      <c r="F128" s="15">
        <v>-0.13714285714285709</v>
      </c>
      <c r="G128" s="15">
        <v>0.1142857142857143</v>
      </c>
      <c r="H128" s="15">
        <v>13</v>
      </c>
      <c r="I128" s="15" t="s">
        <v>443</v>
      </c>
      <c r="J128" s="17">
        <f t="shared" si="1"/>
        <v>1</v>
      </c>
    </row>
    <row r="129" spans="1:10" x14ac:dyDescent="0.4">
      <c r="A129" s="16" t="s">
        <v>8</v>
      </c>
      <c r="B129" s="15" t="s">
        <v>35</v>
      </c>
      <c r="C129" s="15" t="s">
        <v>197</v>
      </c>
      <c r="D129" s="15" t="s">
        <v>268</v>
      </c>
      <c r="E129" s="15" t="s">
        <v>443</v>
      </c>
      <c r="F129" s="15">
        <v>-0.192</v>
      </c>
      <c r="G129" s="15">
        <v>0.16</v>
      </c>
      <c r="H129" s="15">
        <v>12</v>
      </c>
      <c r="I129" s="15" t="s">
        <v>443</v>
      </c>
      <c r="J129" s="17">
        <f t="shared" si="1"/>
        <v>1</v>
      </c>
    </row>
    <row r="130" spans="1:10" x14ac:dyDescent="0.4">
      <c r="A130" s="16" t="s">
        <v>8</v>
      </c>
      <c r="B130" s="15" t="s">
        <v>36</v>
      </c>
      <c r="C130" s="15" t="s">
        <v>197</v>
      </c>
      <c r="D130" s="15" t="s">
        <v>269</v>
      </c>
      <c r="E130" s="15" t="s">
        <v>443</v>
      </c>
      <c r="F130" s="15" t="s">
        <v>443</v>
      </c>
      <c r="G130" s="15" t="s">
        <v>443</v>
      </c>
      <c r="H130" s="15" t="s">
        <v>443</v>
      </c>
      <c r="I130" s="15" t="s">
        <v>443</v>
      </c>
      <c r="J130" s="17">
        <f t="shared" si="1"/>
        <v>1</v>
      </c>
    </row>
    <row r="131" spans="1:10" x14ac:dyDescent="0.4">
      <c r="A131" s="16" t="s">
        <v>8</v>
      </c>
      <c r="B131" s="15" t="s">
        <v>37</v>
      </c>
      <c r="C131" s="15" t="s">
        <v>217</v>
      </c>
      <c r="D131" s="15" t="s">
        <v>270</v>
      </c>
      <c r="E131" s="15" t="s">
        <v>443</v>
      </c>
      <c r="F131" s="15" t="s">
        <v>443</v>
      </c>
      <c r="G131" s="15" t="s">
        <v>443</v>
      </c>
      <c r="H131" s="15" t="s">
        <v>443</v>
      </c>
      <c r="I131" s="15" t="s">
        <v>443</v>
      </c>
      <c r="J131" s="17">
        <f t="shared" si="1"/>
        <v>1</v>
      </c>
    </row>
    <row r="132" spans="1:10" x14ac:dyDescent="0.4">
      <c r="A132" s="16" t="s">
        <v>8</v>
      </c>
      <c r="B132" s="15" t="s">
        <v>38</v>
      </c>
      <c r="C132" s="15" t="s">
        <v>211</v>
      </c>
      <c r="D132" s="15" t="s">
        <v>271</v>
      </c>
      <c r="E132" s="15" t="s">
        <v>443</v>
      </c>
      <c r="F132" s="15" t="s">
        <v>443</v>
      </c>
      <c r="G132" s="15" t="s">
        <v>443</v>
      </c>
      <c r="H132" s="15" t="s">
        <v>443</v>
      </c>
      <c r="I132" s="15" t="s">
        <v>443</v>
      </c>
      <c r="J132" s="17">
        <f t="shared" si="1"/>
        <v>1</v>
      </c>
    </row>
    <row r="133" spans="1:10" x14ac:dyDescent="0.4">
      <c r="A133" s="16" t="s">
        <v>8</v>
      </c>
      <c r="B133" s="15" t="s">
        <v>39</v>
      </c>
      <c r="C133" s="15" t="s">
        <v>197</v>
      </c>
      <c r="D133" s="15" t="s">
        <v>272</v>
      </c>
      <c r="E133" s="15" t="s">
        <v>443</v>
      </c>
      <c r="F133" s="15" t="s">
        <v>443</v>
      </c>
      <c r="G133" s="15" t="s">
        <v>443</v>
      </c>
      <c r="H133" s="15" t="s">
        <v>443</v>
      </c>
      <c r="I133" s="15" t="s">
        <v>443</v>
      </c>
      <c r="J133" s="17">
        <f t="shared" si="1"/>
        <v>1</v>
      </c>
    </row>
    <row r="134" spans="1:10" x14ac:dyDescent="0.4">
      <c r="A134" s="16" t="s">
        <v>8</v>
      </c>
      <c r="B134" s="15" t="s">
        <v>40</v>
      </c>
      <c r="C134" s="15" t="s">
        <v>188</v>
      </c>
      <c r="D134" s="15" t="s">
        <v>273</v>
      </c>
      <c r="E134" s="15" t="s">
        <v>443</v>
      </c>
      <c r="F134" s="15" t="s">
        <v>443</v>
      </c>
      <c r="G134" s="15" t="s">
        <v>443</v>
      </c>
      <c r="H134" s="15" t="s">
        <v>443</v>
      </c>
      <c r="I134" s="15" t="s">
        <v>443</v>
      </c>
      <c r="J134" s="17">
        <f t="shared" si="1"/>
        <v>1</v>
      </c>
    </row>
    <row r="135" spans="1:10" x14ac:dyDescent="0.4">
      <c r="A135" s="16" t="s">
        <v>8</v>
      </c>
      <c r="B135" s="15" t="s">
        <v>41</v>
      </c>
      <c r="C135" s="15" t="s">
        <v>211</v>
      </c>
      <c r="D135" s="15" t="s">
        <v>274</v>
      </c>
      <c r="E135" s="15" t="s">
        <v>443</v>
      </c>
      <c r="F135" s="15" t="s">
        <v>443</v>
      </c>
      <c r="G135" s="15" t="s">
        <v>443</v>
      </c>
      <c r="H135" s="15" t="s">
        <v>443</v>
      </c>
      <c r="I135" s="15" t="s">
        <v>443</v>
      </c>
      <c r="J135" s="17">
        <f t="shared" ref="J135:J198" si="2">IF(I135=E135,1,0)</f>
        <v>1</v>
      </c>
    </row>
    <row r="136" spans="1:10" x14ac:dyDescent="0.4">
      <c r="A136" s="16" t="s">
        <v>8</v>
      </c>
      <c r="B136" s="15" t="s">
        <v>42</v>
      </c>
      <c r="C136" s="15" t="s">
        <v>197</v>
      </c>
      <c r="D136" s="15" t="s">
        <v>275</v>
      </c>
      <c r="E136" s="15" t="s">
        <v>443</v>
      </c>
      <c r="F136" s="15" t="s">
        <v>443</v>
      </c>
      <c r="G136" s="15" t="s">
        <v>443</v>
      </c>
      <c r="H136" s="15" t="s">
        <v>443</v>
      </c>
      <c r="I136" s="15" t="s">
        <v>443</v>
      </c>
      <c r="J136" s="17">
        <f t="shared" si="2"/>
        <v>1</v>
      </c>
    </row>
    <row r="137" spans="1:10" x14ac:dyDescent="0.4">
      <c r="A137" s="16" t="s">
        <v>8</v>
      </c>
      <c r="B137" s="15" t="s">
        <v>43</v>
      </c>
      <c r="C137" s="15" t="s">
        <v>211</v>
      </c>
      <c r="D137" s="15" t="s">
        <v>276</v>
      </c>
      <c r="E137" s="15" t="s">
        <v>443</v>
      </c>
      <c r="F137" s="15" t="s">
        <v>443</v>
      </c>
      <c r="G137" s="15" t="s">
        <v>443</v>
      </c>
      <c r="H137" s="15" t="s">
        <v>443</v>
      </c>
      <c r="I137" s="15" t="s">
        <v>443</v>
      </c>
      <c r="J137" s="17">
        <f t="shared" si="2"/>
        <v>1</v>
      </c>
    </row>
    <row r="138" spans="1:10" x14ac:dyDescent="0.4">
      <c r="A138" s="16" t="s">
        <v>8</v>
      </c>
      <c r="B138" s="15" t="s">
        <v>44</v>
      </c>
      <c r="C138" s="15" t="s">
        <v>217</v>
      </c>
      <c r="D138" s="15" t="s">
        <v>277</v>
      </c>
      <c r="E138" s="15" t="s">
        <v>443</v>
      </c>
      <c r="F138" s="15" t="s">
        <v>443</v>
      </c>
      <c r="G138" s="15" t="s">
        <v>443</v>
      </c>
      <c r="H138" s="15" t="s">
        <v>443</v>
      </c>
      <c r="I138" s="15" t="s">
        <v>443</v>
      </c>
      <c r="J138" s="17">
        <f t="shared" si="2"/>
        <v>1</v>
      </c>
    </row>
    <row r="139" spans="1:10" x14ac:dyDescent="0.4">
      <c r="A139" s="16" t="s">
        <v>8</v>
      </c>
      <c r="B139" s="15" t="s">
        <v>45</v>
      </c>
      <c r="C139" s="15" t="s">
        <v>217</v>
      </c>
      <c r="D139" s="15" t="s">
        <v>278</v>
      </c>
      <c r="E139" s="15" t="s">
        <v>443</v>
      </c>
      <c r="F139" s="15" t="s">
        <v>443</v>
      </c>
      <c r="G139" s="15" t="s">
        <v>443</v>
      </c>
      <c r="H139" s="15" t="s">
        <v>443</v>
      </c>
      <c r="I139" s="15" t="s">
        <v>443</v>
      </c>
      <c r="J139" s="17">
        <f t="shared" si="2"/>
        <v>1</v>
      </c>
    </row>
    <row r="140" spans="1:10" x14ac:dyDescent="0.4">
      <c r="A140" s="16" t="s">
        <v>8</v>
      </c>
      <c r="B140" s="15" t="s">
        <v>46</v>
      </c>
      <c r="C140" s="15" t="s">
        <v>211</v>
      </c>
      <c r="D140" s="15" t="s">
        <v>279</v>
      </c>
      <c r="E140" s="15" t="s">
        <v>443</v>
      </c>
      <c r="F140" s="15" t="s">
        <v>443</v>
      </c>
      <c r="G140" s="15" t="s">
        <v>443</v>
      </c>
      <c r="H140" s="15" t="s">
        <v>443</v>
      </c>
      <c r="I140" s="15" t="s">
        <v>443</v>
      </c>
      <c r="J140" s="17">
        <f t="shared" si="2"/>
        <v>1</v>
      </c>
    </row>
    <row r="141" spans="1:10" x14ac:dyDescent="0.4">
      <c r="A141" s="16" t="s">
        <v>8</v>
      </c>
      <c r="B141" s="15" t="s">
        <v>47</v>
      </c>
      <c r="C141" s="15" t="s">
        <v>217</v>
      </c>
      <c r="D141" s="15" t="s">
        <v>280</v>
      </c>
      <c r="E141" s="15" t="s">
        <v>443</v>
      </c>
      <c r="F141" s="15" t="s">
        <v>443</v>
      </c>
      <c r="G141" s="15" t="s">
        <v>443</v>
      </c>
      <c r="H141" s="15" t="s">
        <v>443</v>
      </c>
      <c r="I141" s="15" t="s">
        <v>443</v>
      </c>
      <c r="J141" s="17">
        <f t="shared" si="2"/>
        <v>1</v>
      </c>
    </row>
    <row r="142" spans="1:10" x14ac:dyDescent="0.4">
      <c r="A142" s="16" t="s">
        <v>8</v>
      </c>
      <c r="B142" s="15" t="s">
        <v>48</v>
      </c>
      <c r="C142" s="15" t="s">
        <v>188</v>
      </c>
      <c r="D142" s="15" t="s">
        <v>281</v>
      </c>
      <c r="E142" s="15" t="s">
        <v>443</v>
      </c>
      <c r="F142" s="15" t="s">
        <v>443</v>
      </c>
      <c r="G142" s="15" t="s">
        <v>443</v>
      </c>
      <c r="H142" s="15" t="s">
        <v>443</v>
      </c>
      <c r="I142" s="15" t="s">
        <v>443</v>
      </c>
      <c r="J142" s="17">
        <f t="shared" si="2"/>
        <v>1</v>
      </c>
    </row>
    <row r="143" spans="1:10" x14ac:dyDescent="0.4">
      <c r="A143" s="16" t="s">
        <v>8</v>
      </c>
      <c r="B143" s="15" t="s">
        <v>49</v>
      </c>
      <c r="C143" s="15" t="s">
        <v>227</v>
      </c>
      <c r="D143" s="15" t="s">
        <v>282</v>
      </c>
      <c r="E143" s="15" t="s">
        <v>443</v>
      </c>
      <c r="F143" s="15" t="s">
        <v>443</v>
      </c>
      <c r="G143" s="15" t="s">
        <v>443</v>
      </c>
      <c r="H143" s="15" t="s">
        <v>443</v>
      </c>
      <c r="I143" s="15" t="s">
        <v>443</v>
      </c>
      <c r="J143" s="17">
        <f t="shared" si="2"/>
        <v>1</v>
      </c>
    </row>
    <row r="144" spans="1:10" x14ac:dyDescent="0.4">
      <c r="A144" s="16" t="s">
        <v>8</v>
      </c>
      <c r="B144" s="15" t="s">
        <v>50</v>
      </c>
      <c r="C144" s="15" t="s">
        <v>211</v>
      </c>
      <c r="D144" s="15" t="s">
        <v>283</v>
      </c>
      <c r="E144" s="15" t="s">
        <v>443</v>
      </c>
      <c r="F144" s="15" t="s">
        <v>443</v>
      </c>
      <c r="G144" s="15" t="s">
        <v>443</v>
      </c>
      <c r="H144" s="15" t="s">
        <v>443</v>
      </c>
      <c r="I144" s="15" t="s">
        <v>443</v>
      </c>
      <c r="J144" s="17">
        <f t="shared" si="2"/>
        <v>1</v>
      </c>
    </row>
    <row r="145" spans="1:10" x14ac:dyDescent="0.4">
      <c r="A145" s="16" t="s">
        <v>8</v>
      </c>
      <c r="B145" s="15" t="s">
        <v>51</v>
      </c>
      <c r="C145" s="15" t="s">
        <v>217</v>
      </c>
      <c r="D145" s="15" t="s">
        <v>284</v>
      </c>
      <c r="E145" s="15" t="s">
        <v>443</v>
      </c>
      <c r="F145" s="15" t="s">
        <v>443</v>
      </c>
      <c r="G145" s="15" t="s">
        <v>443</v>
      </c>
      <c r="H145" s="15" t="s">
        <v>443</v>
      </c>
      <c r="I145" s="15" t="s">
        <v>443</v>
      </c>
      <c r="J145" s="17">
        <f t="shared" si="2"/>
        <v>1</v>
      </c>
    </row>
    <row r="146" spans="1:10" x14ac:dyDescent="0.4">
      <c r="A146" s="16" t="s">
        <v>8</v>
      </c>
      <c r="B146" s="15" t="s">
        <v>52</v>
      </c>
      <c r="C146" s="15" t="s">
        <v>197</v>
      </c>
      <c r="D146" s="15" t="s">
        <v>285</v>
      </c>
      <c r="E146" s="15" t="s">
        <v>443</v>
      </c>
      <c r="F146" s="15" t="s">
        <v>443</v>
      </c>
      <c r="G146" s="15" t="s">
        <v>443</v>
      </c>
      <c r="H146" s="15" t="s">
        <v>443</v>
      </c>
      <c r="I146" s="15" t="s">
        <v>443</v>
      </c>
      <c r="J146" s="17">
        <f t="shared" si="2"/>
        <v>1</v>
      </c>
    </row>
    <row r="147" spans="1:10" x14ac:dyDescent="0.4">
      <c r="A147" s="16" t="s">
        <v>8</v>
      </c>
      <c r="B147" s="15" t="s">
        <v>53</v>
      </c>
      <c r="C147" s="15" t="s">
        <v>188</v>
      </c>
      <c r="D147" s="15" t="s">
        <v>286</v>
      </c>
      <c r="E147" s="15" t="s">
        <v>443</v>
      </c>
      <c r="F147" s="15" t="s">
        <v>443</v>
      </c>
      <c r="G147" s="15" t="s">
        <v>443</v>
      </c>
      <c r="H147" s="15" t="s">
        <v>443</v>
      </c>
      <c r="I147" s="15" t="s">
        <v>443</v>
      </c>
      <c r="J147" s="17">
        <f t="shared" si="2"/>
        <v>1</v>
      </c>
    </row>
    <row r="148" spans="1:10" x14ac:dyDescent="0.4">
      <c r="A148" s="16" t="s">
        <v>8</v>
      </c>
      <c r="B148" s="15" t="s">
        <v>54</v>
      </c>
      <c r="C148" s="15" t="s">
        <v>188</v>
      </c>
      <c r="D148" s="15" t="s">
        <v>287</v>
      </c>
      <c r="E148" s="15" t="s">
        <v>443</v>
      </c>
      <c r="F148" s="15" t="s">
        <v>443</v>
      </c>
      <c r="G148" s="15" t="s">
        <v>443</v>
      </c>
      <c r="H148" s="15" t="s">
        <v>443</v>
      </c>
      <c r="I148" s="15" t="s">
        <v>443</v>
      </c>
      <c r="J148" s="17">
        <f t="shared" si="2"/>
        <v>1</v>
      </c>
    </row>
    <row r="149" spans="1:10" x14ac:dyDescent="0.4">
      <c r="A149" s="16" t="s">
        <v>8</v>
      </c>
      <c r="B149" s="15" t="s">
        <v>55</v>
      </c>
      <c r="C149" s="15" t="s">
        <v>211</v>
      </c>
      <c r="D149" s="15" t="s">
        <v>288</v>
      </c>
      <c r="E149" s="15" t="s">
        <v>443</v>
      </c>
      <c r="F149" s="15" t="s">
        <v>443</v>
      </c>
      <c r="G149" s="15" t="s">
        <v>443</v>
      </c>
      <c r="H149" s="15" t="s">
        <v>443</v>
      </c>
      <c r="I149" s="15" t="s">
        <v>443</v>
      </c>
      <c r="J149" s="17">
        <f t="shared" si="2"/>
        <v>1</v>
      </c>
    </row>
    <row r="150" spans="1:10" x14ac:dyDescent="0.4">
      <c r="A150" s="16" t="s">
        <v>8</v>
      </c>
      <c r="B150" s="15" t="s">
        <v>56</v>
      </c>
      <c r="C150" s="15" t="s">
        <v>211</v>
      </c>
      <c r="D150" s="15" t="s">
        <v>289</v>
      </c>
      <c r="E150" s="15" t="s">
        <v>443</v>
      </c>
      <c r="F150" s="15" t="s">
        <v>443</v>
      </c>
      <c r="G150" s="15" t="s">
        <v>443</v>
      </c>
      <c r="H150" s="15" t="s">
        <v>443</v>
      </c>
      <c r="I150" s="15" t="s">
        <v>443</v>
      </c>
      <c r="J150" s="17">
        <f t="shared" si="2"/>
        <v>1</v>
      </c>
    </row>
    <row r="151" spans="1:10" x14ac:dyDescent="0.4">
      <c r="A151" s="16" t="s">
        <v>8</v>
      </c>
      <c r="B151" s="15" t="s">
        <v>57</v>
      </c>
      <c r="C151" s="15" t="s">
        <v>211</v>
      </c>
      <c r="D151" s="15" t="s">
        <v>290</v>
      </c>
      <c r="E151" s="15" t="s">
        <v>442</v>
      </c>
      <c r="F151" s="15" t="s">
        <v>442</v>
      </c>
      <c r="G151" s="15" t="s">
        <v>442</v>
      </c>
      <c r="H151" s="15" t="s">
        <v>442</v>
      </c>
      <c r="I151" s="15" t="s">
        <v>442</v>
      </c>
      <c r="J151" s="17">
        <f t="shared" si="2"/>
        <v>1</v>
      </c>
    </row>
    <row r="152" spans="1:10" x14ac:dyDescent="0.4">
      <c r="A152" s="16" t="s">
        <v>8</v>
      </c>
      <c r="B152" s="15" t="s">
        <v>58</v>
      </c>
      <c r="C152" s="15" t="s">
        <v>188</v>
      </c>
      <c r="D152" s="15" t="s">
        <v>291</v>
      </c>
      <c r="E152" s="15" t="s">
        <v>443</v>
      </c>
      <c r="F152" s="15" t="s">
        <v>443</v>
      </c>
      <c r="G152" s="15" t="s">
        <v>443</v>
      </c>
      <c r="H152" s="15" t="s">
        <v>443</v>
      </c>
      <c r="I152" s="15" t="s">
        <v>443</v>
      </c>
      <c r="J152" s="17">
        <f t="shared" si="2"/>
        <v>1</v>
      </c>
    </row>
    <row r="153" spans="1:10" x14ac:dyDescent="0.4">
      <c r="A153" s="16" t="s">
        <v>8</v>
      </c>
      <c r="B153" s="15" t="s">
        <v>59</v>
      </c>
      <c r="C153" s="15" t="s">
        <v>217</v>
      </c>
      <c r="D153" s="15" t="s">
        <v>292</v>
      </c>
      <c r="E153" s="15" t="s">
        <v>443</v>
      </c>
      <c r="F153" s="15" t="s">
        <v>443</v>
      </c>
      <c r="G153" s="15" t="s">
        <v>443</v>
      </c>
      <c r="H153" s="15" t="s">
        <v>443</v>
      </c>
      <c r="I153" s="15" t="s">
        <v>443</v>
      </c>
      <c r="J153" s="17">
        <f t="shared" si="2"/>
        <v>1</v>
      </c>
    </row>
    <row r="154" spans="1:10" x14ac:dyDescent="0.4">
      <c r="A154" s="16" t="s">
        <v>8</v>
      </c>
      <c r="B154" s="15" t="s">
        <v>60</v>
      </c>
      <c r="C154" s="15" t="s">
        <v>188</v>
      </c>
      <c r="D154" s="15" t="s">
        <v>293</v>
      </c>
      <c r="E154" s="15" t="s">
        <v>443</v>
      </c>
      <c r="F154" s="15" t="s">
        <v>443</v>
      </c>
      <c r="G154" s="15" t="s">
        <v>443</v>
      </c>
      <c r="H154" s="15" t="s">
        <v>443</v>
      </c>
      <c r="I154" s="15" t="s">
        <v>443</v>
      </c>
      <c r="J154" s="17">
        <f t="shared" si="2"/>
        <v>1</v>
      </c>
    </row>
    <row r="155" spans="1:10" x14ac:dyDescent="0.4">
      <c r="A155" s="16" t="s">
        <v>8</v>
      </c>
      <c r="B155" s="15" t="s">
        <v>61</v>
      </c>
      <c r="C155" s="15" t="s">
        <v>211</v>
      </c>
      <c r="D155" s="15" t="s">
        <v>294</v>
      </c>
      <c r="E155" s="15" t="s">
        <v>443</v>
      </c>
      <c r="F155" s="15">
        <v>-0.35499999999999998</v>
      </c>
      <c r="G155" s="15">
        <v>6.6666666666666666E-2</v>
      </c>
      <c r="H155" s="15">
        <v>14</v>
      </c>
      <c r="I155" s="15" t="s">
        <v>443</v>
      </c>
      <c r="J155" s="17">
        <f t="shared" si="2"/>
        <v>1</v>
      </c>
    </row>
    <row r="156" spans="1:10" x14ac:dyDescent="0.4">
      <c r="A156" s="16" t="s">
        <v>8</v>
      </c>
      <c r="B156" s="15" t="s">
        <v>62</v>
      </c>
      <c r="C156" s="15" t="s">
        <v>211</v>
      </c>
      <c r="D156" s="15" t="s">
        <v>295</v>
      </c>
      <c r="E156" s="15" t="s">
        <v>443</v>
      </c>
      <c r="F156" s="15">
        <v>-0.1033333333333333</v>
      </c>
      <c r="G156" s="15">
        <v>4.4444444444444453E-2</v>
      </c>
      <c r="H156" s="15">
        <v>14</v>
      </c>
      <c r="I156" s="15" t="s">
        <v>443</v>
      </c>
      <c r="J156" s="17">
        <f t="shared" si="2"/>
        <v>1</v>
      </c>
    </row>
    <row r="157" spans="1:10" x14ac:dyDescent="0.4">
      <c r="A157" s="16" t="s">
        <v>8</v>
      </c>
      <c r="B157" s="15" t="s">
        <v>63</v>
      </c>
      <c r="C157" s="15" t="s">
        <v>197</v>
      </c>
      <c r="D157" s="15" t="s">
        <v>296</v>
      </c>
      <c r="E157" s="15" t="s">
        <v>444</v>
      </c>
      <c r="F157" s="15">
        <v>-0.40666666666666662</v>
      </c>
      <c r="G157" s="15">
        <v>0.2</v>
      </c>
      <c r="H157" s="15">
        <v>12</v>
      </c>
      <c r="I157" s="15" t="s">
        <v>444</v>
      </c>
      <c r="J157" s="17">
        <f t="shared" si="2"/>
        <v>1</v>
      </c>
    </row>
    <row r="158" spans="1:10" x14ac:dyDescent="0.4">
      <c r="A158" s="16" t="s">
        <v>8</v>
      </c>
      <c r="B158" s="15" t="s">
        <v>64</v>
      </c>
      <c r="C158" s="15" t="s">
        <v>211</v>
      </c>
      <c r="D158" s="15" t="s">
        <v>297</v>
      </c>
      <c r="E158" s="15" t="s">
        <v>443</v>
      </c>
      <c r="F158" s="15">
        <v>-0.192</v>
      </c>
      <c r="G158" s="15">
        <v>0.16</v>
      </c>
      <c r="H158" s="15">
        <v>12</v>
      </c>
      <c r="I158" s="15" t="s">
        <v>443</v>
      </c>
      <c r="J158" s="17">
        <f t="shared" si="2"/>
        <v>1</v>
      </c>
    </row>
    <row r="159" spans="1:10" x14ac:dyDescent="0.4">
      <c r="A159" s="16" t="s">
        <v>8</v>
      </c>
      <c r="B159" s="15" t="s">
        <v>65</v>
      </c>
      <c r="C159" s="15" t="s">
        <v>188</v>
      </c>
      <c r="D159" s="15" t="s">
        <v>298</v>
      </c>
      <c r="E159" s="15" t="s">
        <v>442</v>
      </c>
      <c r="F159" s="15">
        <v>-4.7791068580542287E-2</v>
      </c>
      <c r="G159" s="15">
        <v>0.12631578947368419</v>
      </c>
      <c r="H159" s="15">
        <v>13</v>
      </c>
      <c r="I159" s="15" t="s">
        <v>442</v>
      </c>
      <c r="J159" s="17">
        <f t="shared" si="2"/>
        <v>1</v>
      </c>
    </row>
    <row r="160" spans="1:10" x14ac:dyDescent="0.4">
      <c r="A160" s="16" t="s">
        <v>8</v>
      </c>
      <c r="B160" s="15" t="s">
        <v>66</v>
      </c>
      <c r="C160" s="15" t="s">
        <v>231</v>
      </c>
      <c r="D160" s="15" t="s">
        <v>299</v>
      </c>
      <c r="E160" s="15" t="s">
        <v>443</v>
      </c>
      <c r="F160" s="15">
        <v>-0.5</v>
      </c>
      <c r="G160" s="15">
        <v>0.25</v>
      </c>
      <c r="H160" s="15">
        <v>11</v>
      </c>
      <c r="I160" s="15" t="s">
        <v>443</v>
      </c>
      <c r="J160" s="17">
        <f t="shared" si="2"/>
        <v>1</v>
      </c>
    </row>
    <row r="161" spans="1:10" x14ac:dyDescent="0.4">
      <c r="A161" s="16" t="s">
        <v>8</v>
      </c>
      <c r="B161" s="15" t="s">
        <v>67</v>
      </c>
      <c r="C161" s="15" t="s">
        <v>211</v>
      </c>
      <c r="D161" s="15" t="s">
        <v>300</v>
      </c>
      <c r="E161" s="15" t="s">
        <v>443</v>
      </c>
      <c r="F161" s="15">
        <v>-0.1066666666666667</v>
      </c>
      <c r="G161" s="15">
        <v>8.8888888888888892E-2</v>
      </c>
      <c r="H161" s="15">
        <v>13</v>
      </c>
      <c r="I161" s="15" t="s">
        <v>443</v>
      </c>
      <c r="J161" s="17">
        <f t="shared" si="2"/>
        <v>1</v>
      </c>
    </row>
    <row r="162" spans="1:10" x14ac:dyDescent="0.4">
      <c r="A162" s="16" t="s">
        <v>8</v>
      </c>
      <c r="B162" s="15" t="s">
        <v>68</v>
      </c>
      <c r="C162" s="15" t="s">
        <v>210</v>
      </c>
      <c r="D162" s="15" t="s">
        <v>301</v>
      </c>
      <c r="E162" s="15" t="s">
        <v>443</v>
      </c>
      <c r="F162" s="15">
        <v>0.1714285714285714</v>
      </c>
      <c r="G162" s="15">
        <v>0</v>
      </c>
      <c r="H162" s="15">
        <v>15</v>
      </c>
      <c r="I162" s="15" t="s">
        <v>443</v>
      </c>
      <c r="J162" s="17">
        <f t="shared" si="2"/>
        <v>1</v>
      </c>
    </row>
    <row r="163" spans="1:10" x14ac:dyDescent="0.4">
      <c r="A163" s="16" t="s">
        <v>8</v>
      </c>
      <c r="B163" s="15" t="s">
        <v>69</v>
      </c>
      <c r="C163" s="15" t="s">
        <v>188</v>
      </c>
      <c r="D163" s="15" t="s">
        <v>302</v>
      </c>
      <c r="E163" s="15" t="s">
        <v>443</v>
      </c>
      <c r="F163" s="15">
        <v>-0.72</v>
      </c>
      <c r="G163" s="15">
        <v>0.6</v>
      </c>
      <c r="H163" s="15">
        <v>6</v>
      </c>
      <c r="I163" s="15" t="s">
        <v>443</v>
      </c>
      <c r="J163" s="17">
        <f t="shared" si="2"/>
        <v>1</v>
      </c>
    </row>
    <row r="164" spans="1:10" x14ac:dyDescent="0.4">
      <c r="A164" s="16" t="s">
        <v>8</v>
      </c>
      <c r="B164" s="15" t="s">
        <v>70</v>
      </c>
      <c r="C164" s="15" t="s">
        <v>217</v>
      </c>
      <c r="D164" s="15" t="s">
        <v>303</v>
      </c>
      <c r="E164" s="15" t="s">
        <v>443</v>
      </c>
      <c r="F164" s="15">
        <v>0.10181818181818179</v>
      </c>
      <c r="G164" s="15">
        <v>8.1818181818181818E-2</v>
      </c>
      <c r="H164" s="15">
        <v>13</v>
      </c>
      <c r="I164" s="15" t="s">
        <v>443</v>
      </c>
      <c r="J164" s="17">
        <f t="shared" si="2"/>
        <v>1</v>
      </c>
    </row>
    <row r="165" spans="1:10" x14ac:dyDescent="0.4">
      <c r="A165" s="16" t="s">
        <v>8</v>
      </c>
      <c r="B165" s="15" t="s">
        <v>71</v>
      </c>
      <c r="C165" s="15" t="s">
        <v>188</v>
      </c>
      <c r="D165" s="15" t="s">
        <v>304</v>
      </c>
      <c r="E165" s="15" t="s">
        <v>443</v>
      </c>
      <c r="F165" s="15">
        <v>-0.67999999999999994</v>
      </c>
      <c r="G165" s="15">
        <v>0.4</v>
      </c>
      <c r="H165" s="15">
        <v>9</v>
      </c>
      <c r="I165" s="15" t="s">
        <v>443</v>
      </c>
      <c r="J165" s="17">
        <f t="shared" si="2"/>
        <v>1</v>
      </c>
    </row>
    <row r="166" spans="1:10" x14ac:dyDescent="0.4">
      <c r="A166" s="16" t="s">
        <v>8</v>
      </c>
      <c r="B166" s="15" t="s">
        <v>72</v>
      </c>
      <c r="C166" s="15" t="s">
        <v>188</v>
      </c>
      <c r="D166" s="15" t="s">
        <v>305</v>
      </c>
      <c r="E166" s="15" t="s">
        <v>442</v>
      </c>
      <c r="F166" s="15">
        <v>1.909956709956712E-2</v>
      </c>
      <c r="G166" s="15">
        <v>0.1114285714285714</v>
      </c>
      <c r="H166" s="15">
        <v>13</v>
      </c>
      <c r="I166" s="15" t="s">
        <v>442</v>
      </c>
      <c r="J166" s="17">
        <f t="shared" si="2"/>
        <v>1</v>
      </c>
    </row>
    <row r="167" spans="1:10" x14ac:dyDescent="0.4">
      <c r="A167" s="16" t="s">
        <v>8</v>
      </c>
      <c r="B167" s="15" t="s">
        <v>73</v>
      </c>
      <c r="C167" s="15" t="s">
        <v>197</v>
      </c>
      <c r="D167" s="15" t="s">
        <v>306</v>
      </c>
      <c r="E167" s="15" t="s">
        <v>443</v>
      </c>
      <c r="F167" s="15">
        <v>-0.21333333333333329</v>
      </c>
      <c r="G167" s="15">
        <v>0.17777777777777781</v>
      </c>
      <c r="H167" s="15">
        <v>12</v>
      </c>
      <c r="I167" s="15" t="s">
        <v>443</v>
      </c>
      <c r="J167" s="17">
        <f t="shared" si="2"/>
        <v>1</v>
      </c>
    </row>
    <row r="168" spans="1:10" x14ac:dyDescent="0.4">
      <c r="A168" s="16" t="s">
        <v>8</v>
      </c>
      <c r="B168" s="15" t="s">
        <v>74</v>
      </c>
      <c r="C168" s="15" t="s">
        <v>188</v>
      </c>
      <c r="D168" s="15" t="s">
        <v>307</v>
      </c>
      <c r="E168" s="15" t="s">
        <v>444</v>
      </c>
      <c r="F168" s="15">
        <v>-0.20229437229437219</v>
      </c>
      <c r="G168" s="15">
        <v>0.2181818181818182</v>
      </c>
      <c r="H168" s="15">
        <v>11</v>
      </c>
      <c r="I168" s="15" t="s">
        <v>444</v>
      </c>
      <c r="J168" s="17">
        <f t="shared" si="2"/>
        <v>1</v>
      </c>
    </row>
    <row r="169" spans="1:10" x14ac:dyDescent="0.4">
      <c r="A169" s="16" t="s">
        <v>8</v>
      </c>
      <c r="B169" s="15" t="s">
        <v>75</v>
      </c>
      <c r="C169" s="15" t="s">
        <v>217</v>
      </c>
      <c r="D169" s="15" t="s">
        <v>308</v>
      </c>
      <c r="E169" s="15" t="s">
        <v>444</v>
      </c>
      <c r="F169" s="15">
        <v>0.1471428571428571</v>
      </c>
      <c r="G169" s="15">
        <v>8.5714285714285715E-2</v>
      </c>
      <c r="H169" s="15">
        <v>13</v>
      </c>
      <c r="I169" s="15" t="s">
        <v>444</v>
      </c>
      <c r="J169" s="17">
        <f t="shared" si="2"/>
        <v>1</v>
      </c>
    </row>
    <row r="170" spans="1:10" x14ac:dyDescent="0.4">
      <c r="A170" s="16" t="s">
        <v>8</v>
      </c>
      <c r="B170" s="15" t="s">
        <v>76</v>
      </c>
      <c r="C170" s="15" t="s">
        <v>211</v>
      </c>
      <c r="D170" s="15" t="s">
        <v>309</v>
      </c>
      <c r="E170" s="15" t="s">
        <v>443</v>
      </c>
      <c r="F170" s="15">
        <v>-0.24</v>
      </c>
      <c r="G170" s="15">
        <v>0.2</v>
      </c>
      <c r="H170" s="15">
        <v>12</v>
      </c>
      <c r="I170" s="15" t="s">
        <v>443</v>
      </c>
      <c r="J170" s="17">
        <f t="shared" si="2"/>
        <v>1</v>
      </c>
    </row>
    <row r="171" spans="1:10" x14ac:dyDescent="0.4">
      <c r="A171" s="16" t="s">
        <v>8</v>
      </c>
      <c r="B171" s="15" t="s">
        <v>195</v>
      </c>
      <c r="C171" s="15" t="s">
        <v>215</v>
      </c>
      <c r="D171" s="15" t="s">
        <v>427</v>
      </c>
      <c r="E171" s="15" t="s">
        <v>443</v>
      </c>
      <c r="F171" s="15">
        <v>-0.25</v>
      </c>
      <c r="G171" s="15">
        <v>0</v>
      </c>
      <c r="H171" s="15">
        <v>15</v>
      </c>
      <c r="I171" s="15" t="s">
        <v>443</v>
      </c>
      <c r="J171" s="17">
        <f t="shared" si="2"/>
        <v>1</v>
      </c>
    </row>
    <row r="172" spans="1:10" x14ac:dyDescent="0.4">
      <c r="A172" s="16" t="s">
        <v>8</v>
      </c>
      <c r="B172" s="15" t="s">
        <v>196</v>
      </c>
      <c r="C172" s="15" t="s">
        <v>197</v>
      </c>
      <c r="D172" s="15" t="s">
        <v>428</v>
      </c>
      <c r="E172" s="15" t="s">
        <v>443</v>
      </c>
      <c r="F172" s="15">
        <v>-0.24</v>
      </c>
      <c r="G172" s="15">
        <v>0.2</v>
      </c>
      <c r="H172" s="15">
        <v>12</v>
      </c>
      <c r="I172" s="15" t="s">
        <v>443</v>
      </c>
      <c r="J172" s="17">
        <f t="shared" si="2"/>
        <v>1</v>
      </c>
    </row>
    <row r="173" spans="1:10" x14ac:dyDescent="0.4">
      <c r="A173" s="16" t="s">
        <v>8</v>
      </c>
      <c r="B173" s="15" t="s">
        <v>198</v>
      </c>
      <c r="C173" s="15" t="s">
        <v>240</v>
      </c>
      <c r="D173" s="15" t="s">
        <v>429</v>
      </c>
      <c r="E173" s="15" t="s">
        <v>443</v>
      </c>
      <c r="F173" s="15">
        <v>-0.121375</v>
      </c>
      <c r="G173" s="15">
        <v>0.13500000000000001</v>
      </c>
      <c r="H173" s="15">
        <v>12</v>
      </c>
      <c r="I173" s="15" t="s">
        <v>443</v>
      </c>
      <c r="J173" s="17">
        <f t="shared" si="2"/>
        <v>1</v>
      </c>
    </row>
    <row r="174" spans="1:10" x14ac:dyDescent="0.4">
      <c r="A174" s="16" t="s">
        <v>8</v>
      </c>
      <c r="B174" s="15" t="s">
        <v>199</v>
      </c>
      <c r="C174" s="15" t="s">
        <v>197</v>
      </c>
      <c r="D174" s="15" t="s">
        <v>430</v>
      </c>
      <c r="E174" s="15" t="s">
        <v>443</v>
      </c>
      <c r="F174" s="15">
        <v>-0.1133333333333333</v>
      </c>
      <c r="G174" s="15">
        <v>0.17777777777777781</v>
      </c>
      <c r="H174" s="15">
        <v>12</v>
      </c>
      <c r="I174" s="15" t="s">
        <v>443</v>
      </c>
      <c r="J174" s="17">
        <f t="shared" si="2"/>
        <v>1</v>
      </c>
    </row>
    <row r="175" spans="1:10" x14ac:dyDescent="0.4">
      <c r="A175" s="16" t="s">
        <v>8</v>
      </c>
      <c r="B175" s="15" t="s">
        <v>200</v>
      </c>
      <c r="C175" s="15" t="s">
        <v>216</v>
      </c>
      <c r="D175" s="15" t="s">
        <v>431</v>
      </c>
      <c r="E175" s="15" t="s">
        <v>443</v>
      </c>
      <c r="F175" s="15">
        <v>-0.69999999999999984</v>
      </c>
      <c r="G175" s="15">
        <v>0</v>
      </c>
      <c r="H175" s="15">
        <v>15</v>
      </c>
      <c r="I175" s="15" t="s">
        <v>443</v>
      </c>
      <c r="J175" s="17">
        <f t="shared" si="2"/>
        <v>1</v>
      </c>
    </row>
    <row r="176" spans="1:10" x14ac:dyDescent="0.4">
      <c r="A176" s="16" t="s">
        <v>8</v>
      </c>
      <c r="B176" s="15" t="s">
        <v>201</v>
      </c>
      <c r="C176" s="15" t="s">
        <v>215</v>
      </c>
      <c r="D176" s="15" t="s">
        <v>432</v>
      </c>
      <c r="E176" s="15" t="s">
        <v>444</v>
      </c>
      <c r="F176" s="15">
        <v>0.29464285714285721</v>
      </c>
      <c r="G176" s="15">
        <v>0</v>
      </c>
      <c r="H176" s="15">
        <v>15</v>
      </c>
      <c r="I176" s="15" t="s">
        <v>444</v>
      </c>
      <c r="J176" s="17">
        <f t="shared" si="2"/>
        <v>1</v>
      </c>
    </row>
    <row r="177" spans="1:10" x14ac:dyDescent="0.4">
      <c r="A177" s="16" t="s">
        <v>8</v>
      </c>
      <c r="B177" s="15" t="s">
        <v>202</v>
      </c>
      <c r="C177" s="15" t="s">
        <v>217</v>
      </c>
      <c r="D177" s="15" t="s">
        <v>434</v>
      </c>
      <c r="E177" s="15" t="s">
        <v>443</v>
      </c>
      <c r="F177" s="15">
        <v>-0.31737500000000002</v>
      </c>
      <c r="G177" s="15">
        <v>0.09</v>
      </c>
      <c r="H177" s="15">
        <v>13</v>
      </c>
      <c r="I177" s="15" t="s">
        <v>443</v>
      </c>
      <c r="J177" s="17">
        <f t="shared" si="2"/>
        <v>1</v>
      </c>
    </row>
    <row r="178" spans="1:10" x14ac:dyDescent="0.4">
      <c r="A178" s="16" t="s">
        <v>8</v>
      </c>
      <c r="B178" s="15" t="s">
        <v>203</v>
      </c>
      <c r="C178" s="15" t="s">
        <v>134</v>
      </c>
      <c r="D178" s="15" t="s">
        <v>435</v>
      </c>
      <c r="E178" s="15" t="s">
        <v>443</v>
      </c>
      <c r="F178" s="15">
        <v>-0.13714285714285709</v>
      </c>
      <c r="G178" s="15">
        <v>0.1142857142857143</v>
      </c>
      <c r="H178" s="15">
        <v>13</v>
      </c>
      <c r="I178" s="15" t="s">
        <v>443</v>
      </c>
      <c r="J178" s="17">
        <f t="shared" si="2"/>
        <v>1</v>
      </c>
    </row>
    <row r="179" spans="1:10" x14ac:dyDescent="0.4">
      <c r="A179" s="16" t="s">
        <v>8</v>
      </c>
      <c r="B179" s="15" t="s">
        <v>204</v>
      </c>
      <c r="C179" s="15" t="s">
        <v>223</v>
      </c>
      <c r="D179" s="15" t="s">
        <v>436</v>
      </c>
      <c r="E179" s="15" t="s">
        <v>443</v>
      </c>
      <c r="F179" s="15">
        <v>-0.15</v>
      </c>
      <c r="G179" s="15">
        <v>5.5555555555555552E-2</v>
      </c>
      <c r="H179" s="15">
        <v>14</v>
      </c>
      <c r="I179" s="15" t="s">
        <v>443</v>
      </c>
      <c r="J179" s="17">
        <f t="shared" si="2"/>
        <v>1</v>
      </c>
    </row>
    <row r="180" spans="1:10" x14ac:dyDescent="0.4">
      <c r="A180" s="16" t="s">
        <v>8</v>
      </c>
      <c r="B180" s="15" t="s">
        <v>205</v>
      </c>
      <c r="C180" s="15" t="s">
        <v>188</v>
      </c>
      <c r="D180" s="15" t="s">
        <v>437</v>
      </c>
      <c r="E180" s="15" t="s">
        <v>443</v>
      </c>
      <c r="F180" s="15">
        <v>-0.72133333333333327</v>
      </c>
      <c r="G180" s="15">
        <v>0.24</v>
      </c>
      <c r="H180" s="15">
        <v>11</v>
      </c>
      <c r="I180" s="15" t="s">
        <v>443</v>
      </c>
      <c r="J180" s="17">
        <f t="shared" si="2"/>
        <v>1</v>
      </c>
    </row>
    <row r="181" spans="1:10" x14ac:dyDescent="0.4">
      <c r="A181" s="16" t="s">
        <v>8</v>
      </c>
      <c r="B181" s="15" t="s">
        <v>206</v>
      </c>
      <c r="C181" s="15" t="s">
        <v>197</v>
      </c>
      <c r="D181" s="15" t="s">
        <v>438</v>
      </c>
      <c r="E181" s="15" t="s">
        <v>443</v>
      </c>
      <c r="F181" s="15">
        <v>-0.1377777777777778</v>
      </c>
      <c r="G181" s="15">
        <v>5.9259259259259262E-2</v>
      </c>
      <c r="H181" s="15">
        <v>14</v>
      </c>
      <c r="I181" s="15" t="s">
        <v>443</v>
      </c>
      <c r="J181" s="17">
        <f t="shared" si="2"/>
        <v>1</v>
      </c>
    </row>
    <row r="182" spans="1:10" x14ac:dyDescent="0.4">
      <c r="A182" s="16" t="s">
        <v>8</v>
      </c>
      <c r="B182" s="15" t="s">
        <v>207</v>
      </c>
      <c r="C182" s="15" t="s">
        <v>215</v>
      </c>
      <c r="D182" s="15" t="s">
        <v>439</v>
      </c>
      <c r="E182" s="15" t="s">
        <v>443</v>
      </c>
      <c r="F182" s="15">
        <v>-0.125</v>
      </c>
      <c r="G182" s="15">
        <v>0</v>
      </c>
      <c r="H182" s="15">
        <v>15</v>
      </c>
      <c r="I182" s="15" t="s">
        <v>443</v>
      </c>
      <c r="J182" s="17">
        <f t="shared" si="2"/>
        <v>1</v>
      </c>
    </row>
    <row r="183" spans="1:10" x14ac:dyDescent="0.4">
      <c r="A183" s="16" t="s">
        <v>8</v>
      </c>
      <c r="B183" s="15" t="s">
        <v>208</v>
      </c>
      <c r="C183" s="15" t="s">
        <v>228</v>
      </c>
      <c r="D183" s="15" t="s">
        <v>440</v>
      </c>
      <c r="E183" s="15" t="s">
        <v>443</v>
      </c>
      <c r="F183" s="15">
        <v>-0.42313725490196069</v>
      </c>
      <c r="G183" s="15">
        <v>4.7058823529411757E-2</v>
      </c>
      <c r="H183" s="15">
        <v>14</v>
      </c>
      <c r="I183" s="15" t="s">
        <v>443</v>
      </c>
      <c r="J183" s="17">
        <f t="shared" si="2"/>
        <v>1</v>
      </c>
    </row>
    <row r="184" spans="1:10" x14ac:dyDescent="0.4">
      <c r="A184" s="16" t="s">
        <v>8</v>
      </c>
      <c r="B184" s="15" t="s">
        <v>209</v>
      </c>
      <c r="C184" s="15" t="s">
        <v>228</v>
      </c>
      <c r="D184" s="15" t="s">
        <v>441</v>
      </c>
      <c r="E184" s="15" t="s">
        <v>443</v>
      </c>
      <c r="F184" s="15">
        <v>-0.13714285714285709</v>
      </c>
      <c r="G184" s="15">
        <v>0.1142857142857143</v>
      </c>
      <c r="H184" s="15">
        <v>13</v>
      </c>
      <c r="I184" s="15" t="s">
        <v>443</v>
      </c>
      <c r="J184" s="17">
        <f t="shared" si="2"/>
        <v>1</v>
      </c>
    </row>
    <row r="185" spans="1:10" x14ac:dyDescent="0.4">
      <c r="A185" s="16" t="s">
        <v>8</v>
      </c>
      <c r="B185" s="15" t="s">
        <v>135</v>
      </c>
      <c r="C185" s="15" t="s">
        <v>211</v>
      </c>
      <c r="D185" s="15" t="s">
        <v>368</v>
      </c>
      <c r="E185" s="15" t="s">
        <v>443</v>
      </c>
      <c r="F185" s="15">
        <v>-0.19357142857142859</v>
      </c>
      <c r="G185" s="15">
        <v>5.7142857142857141E-2</v>
      </c>
      <c r="H185" s="15">
        <v>14</v>
      </c>
      <c r="I185" s="15" t="s">
        <v>443</v>
      </c>
      <c r="J185" s="17">
        <f t="shared" si="2"/>
        <v>1</v>
      </c>
    </row>
    <row r="186" spans="1:10" x14ac:dyDescent="0.4">
      <c r="A186" s="16" t="s">
        <v>8</v>
      </c>
      <c r="B186" s="15" t="s">
        <v>136</v>
      </c>
      <c r="C186" s="15" t="s">
        <v>225</v>
      </c>
      <c r="D186" s="15" t="s">
        <v>369</v>
      </c>
      <c r="E186" s="15" t="s">
        <v>443</v>
      </c>
      <c r="F186" s="15">
        <v>-1.0742857142857141</v>
      </c>
      <c r="G186" s="15">
        <v>0.22857142857142859</v>
      </c>
      <c r="H186" s="15">
        <v>11</v>
      </c>
      <c r="I186" s="15" t="s">
        <v>443</v>
      </c>
      <c r="J186" s="17">
        <f t="shared" si="2"/>
        <v>1</v>
      </c>
    </row>
    <row r="187" spans="1:10" x14ac:dyDescent="0.4">
      <c r="A187" s="16" t="s">
        <v>8</v>
      </c>
      <c r="B187" s="15" t="s">
        <v>137</v>
      </c>
      <c r="C187" s="15" t="s">
        <v>188</v>
      </c>
      <c r="D187" s="15" t="s">
        <v>370</v>
      </c>
      <c r="E187" s="15" t="s">
        <v>443</v>
      </c>
      <c r="F187" s="15">
        <v>-0.41599999999999998</v>
      </c>
      <c r="G187" s="15">
        <v>0.18</v>
      </c>
      <c r="H187" s="15">
        <v>12</v>
      </c>
      <c r="I187" s="15" t="s">
        <v>443</v>
      </c>
      <c r="J187" s="17">
        <f t="shared" si="2"/>
        <v>1</v>
      </c>
    </row>
    <row r="188" spans="1:10" x14ac:dyDescent="0.4">
      <c r="A188" s="16" t="s">
        <v>8</v>
      </c>
      <c r="B188" s="15" t="s">
        <v>138</v>
      </c>
      <c r="C188" s="15" t="s">
        <v>197</v>
      </c>
      <c r="D188" s="15" t="s">
        <v>371</v>
      </c>
      <c r="E188" s="15" t="s">
        <v>442</v>
      </c>
      <c r="F188" s="15">
        <v>-8.3666666666666667E-2</v>
      </c>
      <c r="G188" s="15">
        <v>0.16</v>
      </c>
      <c r="H188" s="15">
        <v>12</v>
      </c>
      <c r="I188" s="15" t="s">
        <v>442</v>
      </c>
      <c r="J188" s="17">
        <f t="shared" si="2"/>
        <v>1</v>
      </c>
    </row>
    <row r="189" spans="1:10" x14ac:dyDescent="0.4">
      <c r="A189" s="16" t="s">
        <v>8</v>
      </c>
      <c r="B189" s="15" t="s">
        <v>139</v>
      </c>
      <c r="C189" s="15" t="s">
        <v>217</v>
      </c>
      <c r="D189" s="15" t="s">
        <v>372</v>
      </c>
      <c r="E189" s="15" t="s">
        <v>443</v>
      </c>
      <c r="F189" s="15">
        <v>-0.17</v>
      </c>
      <c r="G189" s="15">
        <v>0.22500000000000001</v>
      </c>
      <c r="H189" s="15">
        <v>11</v>
      </c>
      <c r="I189" s="15" t="s">
        <v>443</v>
      </c>
      <c r="J189" s="17">
        <f t="shared" si="2"/>
        <v>1</v>
      </c>
    </row>
    <row r="190" spans="1:10" x14ac:dyDescent="0.4">
      <c r="A190" s="16" t="s">
        <v>8</v>
      </c>
      <c r="B190" s="15" t="s">
        <v>140</v>
      </c>
      <c r="C190" s="15" t="s">
        <v>217</v>
      </c>
      <c r="D190" s="15" t="s">
        <v>373</v>
      </c>
      <c r="E190" s="15" t="s">
        <v>443</v>
      </c>
      <c r="F190" s="15">
        <v>-0.16615384615384621</v>
      </c>
      <c r="G190" s="15">
        <v>0.1384615384615385</v>
      </c>
      <c r="H190" s="15">
        <v>12</v>
      </c>
      <c r="I190" s="15" t="s">
        <v>443</v>
      </c>
      <c r="J190" s="17">
        <f t="shared" si="2"/>
        <v>1</v>
      </c>
    </row>
    <row r="191" spans="1:10" x14ac:dyDescent="0.4">
      <c r="A191" s="16" t="s">
        <v>8</v>
      </c>
      <c r="B191" s="15" t="s">
        <v>141</v>
      </c>
      <c r="C191" s="15" t="s">
        <v>188</v>
      </c>
      <c r="D191" s="15" t="s">
        <v>374</v>
      </c>
      <c r="E191" s="15" t="s">
        <v>443</v>
      </c>
      <c r="F191" s="15">
        <v>-0.26</v>
      </c>
      <c r="G191" s="15">
        <v>0.3</v>
      </c>
      <c r="H191" s="15">
        <v>10</v>
      </c>
      <c r="I191" s="15" t="s">
        <v>443</v>
      </c>
      <c r="J191" s="17">
        <f t="shared" si="2"/>
        <v>1</v>
      </c>
    </row>
    <row r="192" spans="1:10" x14ac:dyDescent="0.4">
      <c r="A192" s="16" t="s">
        <v>8</v>
      </c>
      <c r="B192" s="15" t="s">
        <v>142</v>
      </c>
      <c r="C192" s="15" t="s">
        <v>197</v>
      </c>
      <c r="D192" s="15" t="s">
        <v>375</v>
      </c>
      <c r="E192" s="15" t="s">
        <v>443</v>
      </c>
      <c r="F192" s="15">
        <v>-0.22324675324675319</v>
      </c>
      <c r="G192" s="15">
        <v>7.6190476190476197E-2</v>
      </c>
      <c r="H192" s="15">
        <v>13</v>
      </c>
      <c r="I192" s="15" t="s">
        <v>443</v>
      </c>
      <c r="J192" s="17">
        <f t="shared" si="2"/>
        <v>1</v>
      </c>
    </row>
    <row r="193" spans="1:10" x14ac:dyDescent="0.4">
      <c r="A193" s="16" t="s">
        <v>8</v>
      </c>
      <c r="B193" s="15" t="s">
        <v>143</v>
      </c>
      <c r="C193" s="15" t="s">
        <v>212</v>
      </c>
      <c r="D193" s="15" t="s">
        <v>376</v>
      </c>
      <c r="E193" s="15" t="s">
        <v>443</v>
      </c>
      <c r="F193" s="15">
        <v>-0.49772727272727268</v>
      </c>
      <c r="G193" s="15">
        <v>0.22727272727272729</v>
      </c>
      <c r="H193" s="15">
        <v>11</v>
      </c>
      <c r="I193" s="15" t="s">
        <v>443</v>
      </c>
      <c r="J193" s="17">
        <f t="shared" si="2"/>
        <v>1</v>
      </c>
    </row>
    <row r="194" spans="1:10" x14ac:dyDescent="0.4">
      <c r="A194" s="16" t="s">
        <v>8</v>
      </c>
      <c r="B194" s="15" t="s">
        <v>144</v>
      </c>
      <c r="C194" s="15" t="s">
        <v>222</v>
      </c>
      <c r="D194" s="15" t="s">
        <v>377</v>
      </c>
      <c r="E194" s="15" t="s">
        <v>442</v>
      </c>
      <c r="F194" s="15">
        <v>-2.8571428571428502E-3</v>
      </c>
      <c r="G194" s="15">
        <v>8.5714285714285715E-2</v>
      </c>
      <c r="H194" s="15">
        <v>13</v>
      </c>
      <c r="I194" s="15" t="s">
        <v>443</v>
      </c>
      <c r="J194" s="17">
        <f t="shared" si="2"/>
        <v>0</v>
      </c>
    </row>
    <row r="195" spans="1:10" x14ac:dyDescent="0.4">
      <c r="A195" s="16" t="s">
        <v>8</v>
      </c>
      <c r="B195" s="15" t="s">
        <v>145</v>
      </c>
      <c r="C195" s="15" t="s">
        <v>197</v>
      </c>
      <c r="D195" s="15" t="s">
        <v>378</v>
      </c>
      <c r="E195" s="15" t="s">
        <v>443</v>
      </c>
      <c r="F195" s="15">
        <v>-0.32</v>
      </c>
      <c r="G195" s="15">
        <v>0.26666666666666672</v>
      </c>
      <c r="H195" s="15">
        <v>11</v>
      </c>
      <c r="I195" s="15" t="s">
        <v>443</v>
      </c>
      <c r="J195" s="17">
        <f t="shared" si="2"/>
        <v>1</v>
      </c>
    </row>
    <row r="196" spans="1:10" x14ac:dyDescent="0.4">
      <c r="A196" s="16" t="s">
        <v>8</v>
      </c>
      <c r="B196" s="15" t="s">
        <v>146</v>
      </c>
      <c r="C196" s="15" t="s">
        <v>197</v>
      </c>
      <c r="D196" s="15" t="s">
        <v>379</v>
      </c>
      <c r="E196" s="15" t="s">
        <v>442</v>
      </c>
      <c r="F196" s="15">
        <v>5.2251082251082277E-2</v>
      </c>
      <c r="G196" s="15">
        <v>7.2727272727272724E-2</v>
      </c>
      <c r="H196" s="15">
        <v>10</v>
      </c>
      <c r="I196" s="15" t="s">
        <v>443</v>
      </c>
      <c r="J196" s="17">
        <f t="shared" si="2"/>
        <v>0</v>
      </c>
    </row>
    <row r="197" spans="1:10" x14ac:dyDescent="0.4">
      <c r="A197" s="16" t="s">
        <v>8</v>
      </c>
      <c r="B197" s="15" t="s">
        <v>147</v>
      </c>
      <c r="C197" s="15" t="s">
        <v>220</v>
      </c>
      <c r="D197" s="15" t="s">
        <v>380</v>
      </c>
      <c r="E197" s="15" t="s">
        <v>443</v>
      </c>
      <c r="F197" s="15">
        <v>-0.86499999999999999</v>
      </c>
      <c r="G197" s="15">
        <v>0.2</v>
      </c>
      <c r="H197" s="15">
        <v>12</v>
      </c>
      <c r="I197" s="15" t="s">
        <v>443</v>
      </c>
      <c r="J197" s="17">
        <f t="shared" si="2"/>
        <v>1</v>
      </c>
    </row>
    <row r="198" spans="1:10" x14ac:dyDescent="0.4">
      <c r="A198" s="16" t="s">
        <v>8</v>
      </c>
      <c r="B198" s="15" t="s">
        <v>148</v>
      </c>
      <c r="C198" s="15" t="s">
        <v>218</v>
      </c>
      <c r="D198" s="15" t="s">
        <v>381</v>
      </c>
      <c r="E198" s="15" t="s">
        <v>442</v>
      </c>
      <c r="F198" s="15">
        <v>1.692307692307693E-2</v>
      </c>
      <c r="G198" s="15">
        <v>6.9230769230769235E-2</v>
      </c>
      <c r="H198" s="15">
        <v>13</v>
      </c>
      <c r="I198" s="15" t="s">
        <v>443</v>
      </c>
      <c r="J198" s="17">
        <f t="shared" si="2"/>
        <v>0</v>
      </c>
    </row>
    <row r="199" spans="1:10" x14ac:dyDescent="0.4">
      <c r="A199" s="16" t="s">
        <v>8</v>
      </c>
      <c r="B199" s="15" t="s">
        <v>149</v>
      </c>
      <c r="C199" s="15" t="s">
        <v>197</v>
      </c>
      <c r="D199" s="15" t="s">
        <v>382</v>
      </c>
      <c r="E199" s="15" t="s">
        <v>443</v>
      </c>
      <c r="F199" s="15">
        <v>-0.67999999999999994</v>
      </c>
      <c r="G199" s="15">
        <v>0.4</v>
      </c>
      <c r="H199" s="15">
        <v>9</v>
      </c>
      <c r="I199" s="15" t="s">
        <v>443</v>
      </c>
      <c r="J199" s="17">
        <f t="shared" ref="J199:J262" si="3">IF(I199=E199,1,0)</f>
        <v>1</v>
      </c>
    </row>
    <row r="200" spans="1:10" x14ac:dyDescent="0.4">
      <c r="A200" s="16" t="s">
        <v>8</v>
      </c>
      <c r="B200" s="15" t="s">
        <v>150</v>
      </c>
      <c r="C200" s="15" t="s">
        <v>217</v>
      </c>
      <c r="D200" s="15" t="s">
        <v>383</v>
      </c>
      <c r="E200" s="15" t="s">
        <v>443</v>
      </c>
      <c r="F200" s="15">
        <v>-0.21077777777777781</v>
      </c>
      <c r="G200" s="15">
        <v>0.09</v>
      </c>
      <c r="H200" s="15">
        <v>13</v>
      </c>
      <c r="I200" s="15" t="s">
        <v>443</v>
      </c>
      <c r="J200" s="17">
        <f t="shared" si="3"/>
        <v>1</v>
      </c>
    </row>
    <row r="201" spans="1:10" x14ac:dyDescent="0.4">
      <c r="A201" s="16" t="s">
        <v>8</v>
      </c>
      <c r="B201" s="15" t="s">
        <v>151</v>
      </c>
      <c r="C201" s="15" t="s">
        <v>222</v>
      </c>
      <c r="D201" s="15" t="s">
        <v>384</v>
      </c>
      <c r="E201" s="15" t="s">
        <v>443</v>
      </c>
      <c r="F201" s="15">
        <v>-0.40285714285714291</v>
      </c>
      <c r="G201" s="15">
        <v>8.5714285714285715E-2</v>
      </c>
      <c r="H201" s="15">
        <v>13</v>
      </c>
      <c r="I201" s="15" t="s">
        <v>443</v>
      </c>
      <c r="J201" s="17">
        <f t="shared" si="3"/>
        <v>1</v>
      </c>
    </row>
    <row r="202" spans="1:10" x14ac:dyDescent="0.4">
      <c r="A202" s="16" t="s">
        <v>8</v>
      </c>
      <c r="B202" s="15" t="s">
        <v>152</v>
      </c>
      <c r="C202" s="15" t="s">
        <v>234</v>
      </c>
      <c r="D202" s="15" t="s">
        <v>385</v>
      </c>
      <c r="E202" s="15" t="s">
        <v>444</v>
      </c>
      <c r="F202" s="15">
        <v>0.1814571428571429</v>
      </c>
      <c r="G202" s="15">
        <v>7.1999999999999995E-2</v>
      </c>
      <c r="H202" s="15">
        <v>13</v>
      </c>
      <c r="I202" s="15" t="s">
        <v>443</v>
      </c>
      <c r="J202" s="17">
        <f t="shared" si="3"/>
        <v>0</v>
      </c>
    </row>
    <row r="203" spans="1:10" x14ac:dyDescent="0.4">
      <c r="A203" s="16" t="s">
        <v>8</v>
      </c>
      <c r="B203" s="15" t="s">
        <v>153</v>
      </c>
      <c r="C203" s="15" t="s">
        <v>218</v>
      </c>
      <c r="D203" s="15" t="s">
        <v>386</v>
      </c>
      <c r="E203" s="15" t="s">
        <v>443</v>
      </c>
      <c r="F203" s="15">
        <v>-0.108</v>
      </c>
      <c r="G203" s="15">
        <v>0.09</v>
      </c>
      <c r="H203" s="15">
        <v>13</v>
      </c>
      <c r="I203" s="15" t="s">
        <v>443</v>
      </c>
      <c r="J203" s="17">
        <f t="shared" si="3"/>
        <v>1</v>
      </c>
    </row>
    <row r="204" spans="1:10" x14ac:dyDescent="0.4">
      <c r="A204" s="16" t="s">
        <v>8</v>
      </c>
      <c r="B204" s="15" t="s">
        <v>154</v>
      </c>
      <c r="C204" s="15" t="s">
        <v>197</v>
      </c>
      <c r="D204" s="15" t="s">
        <v>387</v>
      </c>
      <c r="E204" s="15" t="s">
        <v>444</v>
      </c>
      <c r="F204" s="15">
        <v>0.22272727272727269</v>
      </c>
      <c r="G204" s="15">
        <v>7.2727272727272724E-2</v>
      </c>
      <c r="H204" s="15">
        <v>13</v>
      </c>
      <c r="I204" s="15" t="s">
        <v>444</v>
      </c>
      <c r="J204" s="17">
        <f t="shared" si="3"/>
        <v>1</v>
      </c>
    </row>
    <row r="205" spans="1:10" x14ac:dyDescent="0.4">
      <c r="A205" s="16" t="s">
        <v>8</v>
      </c>
      <c r="B205" s="15" t="s">
        <v>155</v>
      </c>
      <c r="C205" s="15" t="s">
        <v>197</v>
      </c>
      <c r="D205" s="15" t="s">
        <v>388</v>
      </c>
      <c r="E205" s="15" t="s">
        <v>443</v>
      </c>
      <c r="F205" s="15">
        <v>-0.15838929838929841</v>
      </c>
      <c r="G205" s="15">
        <v>0.15135135135135139</v>
      </c>
      <c r="H205" s="15">
        <v>12</v>
      </c>
      <c r="I205" s="15" t="s">
        <v>443</v>
      </c>
      <c r="J205" s="17">
        <f t="shared" si="3"/>
        <v>1</v>
      </c>
    </row>
    <row r="206" spans="1:10" x14ac:dyDescent="0.4">
      <c r="A206" s="16" t="s">
        <v>8</v>
      </c>
      <c r="B206" s="15" t="s">
        <v>156</v>
      </c>
      <c r="C206" s="15" t="s">
        <v>211</v>
      </c>
      <c r="D206" s="15" t="s">
        <v>389</v>
      </c>
      <c r="E206" s="15" t="s">
        <v>444</v>
      </c>
      <c r="F206" s="15">
        <v>0.55428571428571438</v>
      </c>
      <c r="G206" s="15">
        <v>3.8095238095238099E-2</v>
      </c>
      <c r="H206" s="15">
        <v>14</v>
      </c>
      <c r="I206" s="15" t="s">
        <v>444</v>
      </c>
      <c r="J206" s="17">
        <f t="shared" si="3"/>
        <v>1</v>
      </c>
    </row>
    <row r="207" spans="1:10" x14ac:dyDescent="0.4">
      <c r="A207" s="16" t="s">
        <v>8</v>
      </c>
      <c r="B207" s="15" t="s">
        <v>157</v>
      </c>
      <c r="C207" s="15" t="s">
        <v>197</v>
      </c>
      <c r="D207" s="15" t="s">
        <v>390</v>
      </c>
      <c r="E207" s="15" t="s">
        <v>443</v>
      </c>
      <c r="F207" s="15">
        <v>-0.27428571428571419</v>
      </c>
      <c r="G207" s="15">
        <v>0.22857142857142859</v>
      </c>
      <c r="H207" s="15">
        <v>11</v>
      </c>
      <c r="I207" s="15" t="s">
        <v>443</v>
      </c>
      <c r="J207" s="17">
        <f t="shared" si="3"/>
        <v>1</v>
      </c>
    </row>
    <row r="208" spans="1:10" x14ac:dyDescent="0.4">
      <c r="A208" s="16" t="s">
        <v>8</v>
      </c>
      <c r="B208" s="15" t="s">
        <v>158</v>
      </c>
      <c r="C208" s="15" t="s">
        <v>197</v>
      </c>
      <c r="D208" s="15" t="s">
        <v>391</v>
      </c>
      <c r="E208" s="15" t="s">
        <v>443</v>
      </c>
      <c r="F208" s="15">
        <v>-0.32</v>
      </c>
      <c r="G208" s="15">
        <v>0.26666666666666672</v>
      </c>
      <c r="H208" s="15">
        <v>11</v>
      </c>
      <c r="I208" s="15" t="s">
        <v>443</v>
      </c>
      <c r="J208" s="17">
        <f t="shared" si="3"/>
        <v>1</v>
      </c>
    </row>
    <row r="209" spans="1:10" x14ac:dyDescent="0.4">
      <c r="A209" s="16" t="s">
        <v>8</v>
      </c>
      <c r="B209" s="15" t="s">
        <v>159</v>
      </c>
      <c r="C209" s="15" t="s">
        <v>211</v>
      </c>
      <c r="D209" s="15" t="s">
        <v>392</v>
      </c>
      <c r="E209" s="15" t="s">
        <v>443</v>
      </c>
      <c r="F209" s="15">
        <v>-0.30647058823529411</v>
      </c>
      <c r="G209" s="15">
        <v>4.7058823529411757E-2</v>
      </c>
      <c r="H209" s="15">
        <v>14</v>
      </c>
      <c r="I209" s="15" t="s">
        <v>443</v>
      </c>
      <c r="J209" s="17">
        <f t="shared" si="3"/>
        <v>1</v>
      </c>
    </row>
    <row r="210" spans="1:10" x14ac:dyDescent="0.4">
      <c r="A210" s="16" t="s">
        <v>8</v>
      </c>
      <c r="B210" s="15" t="s">
        <v>160</v>
      </c>
      <c r="C210" s="15" t="s">
        <v>225</v>
      </c>
      <c r="D210" s="15" t="s">
        <v>393</v>
      </c>
      <c r="E210" s="15" t="s">
        <v>443</v>
      </c>
      <c r="F210" s="15">
        <v>-0.80787878787878786</v>
      </c>
      <c r="G210" s="15">
        <v>0.14545454545454539</v>
      </c>
      <c r="H210" s="15">
        <v>12</v>
      </c>
      <c r="I210" s="15" t="s">
        <v>443</v>
      </c>
      <c r="J210" s="17">
        <f t="shared" si="3"/>
        <v>1</v>
      </c>
    </row>
    <row r="211" spans="1:10" x14ac:dyDescent="0.4">
      <c r="A211" s="16" t="s">
        <v>8</v>
      </c>
      <c r="B211" s="15" t="s">
        <v>161</v>
      </c>
      <c r="C211" s="15" t="s">
        <v>188</v>
      </c>
      <c r="D211" s="15" t="s">
        <v>394</v>
      </c>
      <c r="E211" s="15" t="s">
        <v>443</v>
      </c>
      <c r="F211" s="15">
        <v>-0.48</v>
      </c>
      <c r="G211" s="15">
        <v>0.4</v>
      </c>
      <c r="H211" s="15">
        <v>9</v>
      </c>
      <c r="I211" s="15" t="s">
        <v>443</v>
      </c>
      <c r="J211" s="17">
        <f t="shared" si="3"/>
        <v>1</v>
      </c>
    </row>
    <row r="212" spans="1:10" x14ac:dyDescent="0.4">
      <c r="A212" s="16" t="s">
        <v>8</v>
      </c>
      <c r="B212" s="15" t="s">
        <v>162</v>
      </c>
      <c r="C212" s="15" t="s">
        <v>188</v>
      </c>
      <c r="D212" s="15" t="s">
        <v>395</v>
      </c>
      <c r="E212" s="15" t="s">
        <v>443</v>
      </c>
      <c r="F212" s="15">
        <v>-0.27581818181818191</v>
      </c>
      <c r="G212" s="15">
        <v>0.12</v>
      </c>
      <c r="H212" s="15">
        <v>13</v>
      </c>
      <c r="I212" s="15" t="s">
        <v>443</v>
      </c>
      <c r="J212" s="17">
        <f t="shared" si="3"/>
        <v>1</v>
      </c>
    </row>
    <row r="213" spans="1:10" x14ac:dyDescent="0.4">
      <c r="A213" s="16" t="s">
        <v>8</v>
      </c>
      <c r="B213" s="15" t="s">
        <v>163</v>
      </c>
      <c r="C213" s="15" t="s">
        <v>217</v>
      </c>
      <c r="D213" s="15" t="s">
        <v>396</v>
      </c>
      <c r="E213" s="15" t="s">
        <v>444</v>
      </c>
      <c r="F213" s="15">
        <v>0.28399999999999997</v>
      </c>
      <c r="G213" s="15">
        <v>0.18</v>
      </c>
      <c r="H213" s="15">
        <v>12</v>
      </c>
      <c r="I213" s="15" t="s">
        <v>444</v>
      </c>
      <c r="J213" s="17">
        <f t="shared" si="3"/>
        <v>1</v>
      </c>
    </row>
    <row r="214" spans="1:10" x14ac:dyDescent="0.4">
      <c r="A214" s="16" t="s">
        <v>8</v>
      </c>
      <c r="B214" s="15" t="s">
        <v>164</v>
      </c>
      <c r="C214" s="15" t="s">
        <v>188</v>
      </c>
      <c r="D214" s="15" t="s">
        <v>397</v>
      </c>
      <c r="E214" s="15" t="s">
        <v>443</v>
      </c>
      <c r="F214" s="15">
        <v>-0.4396363636363636</v>
      </c>
      <c r="G214" s="15">
        <v>0.48</v>
      </c>
      <c r="H214" s="15">
        <v>7</v>
      </c>
      <c r="I214" s="15" t="s">
        <v>443</v>
      </c>
      <c r="J214" s="17">
        <f t="shared" si="3"/>
        <v>1</v>
      </c>
    </row>
    <row r="215" spans="1:10" x14ac:dyDescent="0.4">
      <c r="A215" s="16" t="s">
        <v>8</v>
      </c>
      <c r="B215" s="15" t="s">
        <v>165</v>
      </c>
      <c r="C215" s="15" t="s">
        <v>197</v>
      </c>
      <c r="D215" s="15" t="s">
        <v>398</v>
      </c>
      <c r="E215" s="15" t="s">
        <v>444</v>
      </c>
      <c r="F215" s="15">
        <v>0.41588235294117648</v>
      </c>
      <c r="G215" s="15">
        <v>0.1117647058823529</v>
      </c>
      <c r="H215" s="15">
        <v>13</v>
      </c>
      <c r="I215" s="15" t="s">
        <v>443</v>
      </c>
      <c r="J215" s="17">
        <f t="shared" si="3"/>
        <v>0</v>
      </c>
    </row>
    <row r="216" spans="1:10" x14ac:dyDescent="0.4">
      <c r="A216" s="16" t="s">
        <v>8</v>
      </c>
      <c r="B216" s="15" t="s">
        <v>166</v>
      </c>
      <c r="C216" s="15" t="s">
        <v>220</v>
      </c>
      <c r="D216" s="15" t="s">
        <v>399</v>
      </c>
      <c r="E216" s="15" t="s">
        <v>444</v>
      </c>
      <c r="F216" s="15">
        <v>0.1466666666666667</v>
      </c>
      <c r="G216" s="15">
        <v>0.22500000000000001</v>
      </c>
      <c r="H216" s="15">
        <v>11</v>
      </c>
      <c r="I216" s="15" t="s">
        <v>444</v>
      </c>
      <c r="J216" s="17">
        <f t="shared" si="3"/>
        <v>1</v>
      </c>
    </row>
    <row r="217" spans="1:10" x14ac:dyDescent="0.4">
      <c r="A217" s="16" t="s">
        <v>8</v>
      </c>
      <c r="B217" s="15" t="s">
        <v>167</v>
      </c>
      <c r="C217" s="15" t="s">
        <v>211</v>
      </c>
      <c r="D217" s="15" t="s">
        <v>400</v>
      </c>
      <c r="E217" s="15" t="s">
        <v>443</v>
      </c>
      <c r="F217" s="15">
        <v>-0.1066666666666667</v>
      </c>
      <c r="G217" s="15">
        <v>8.8888888888888892E-2</v>
      </c>
      <c r="H217" s="15">
        <v>13</v>
      </c>
      <c r="I217" s="15" t="s">
        <v>443</v>
      </c>
      <c r="J217" s="17">
        <f t="shared" si="3"/>
        <v>1</v>
      </c>
    </row>
    <row r="218" spans="1:10" x14ac:dyDescent="0.4">
      <c r="A218" s="16" t="s">
        <v>8</v>
      </c>
      <c r="B218" s="15" t="s">
        <v>168</v>
      </c>
      <c r="C218" s="15" t="s">
        <v>197</v>
      </c>
      <c r="D218" s="15" t="s">
        <v>401</v>
      </c>
      <c r="E218" s="15" t="s">
        <v>443</v>
      </c>
      <c r="F218" s="15">
        <v>-0.1129411764705882</v>
      </c>
      <c r="G218" s="15">
        <v>9.4117647058823528E-2</v>
      </c>
      <c r="H218" s="15">
        <v>13</v>
      </c>
      <c r="I218" s="15" t="s">
        <v>443</v>
      </c>
      <c r="J218" s="17">
        <f t="shared" si="3"/>
        <v>1</v>
      </c>
    </row>
    <row r="219" spans="1:10" x14ac:dyDescent="0.4">
      <c r="A219" s="16" t="s">
        <v>8</v>
      </c>
      <c r="B219" s="15" t="s">
        <v>169</v>
      </c>
      <c r="C219" s="15" t="s">
        <v>197</v>
      </c>
      <c r="D219" s="15" t="s">
        <v>402</v>
      </c>
      <c r="E219" s="15" t="s">
        <v>443</v>
      </c>
      <c r="F219" s="15">
        <v>-0.128</v>
      </c>
      <c r="G219" s="15">
        <v>0.1066666666666667</v>
      </c>
      <c r="H219" s="15">
        <v>13</v>
      </c>
      <c r="I219" s="15" t="s">
        <v>443</v>
      </c>
      <c r="J219" s="17">
        <f t="shared" si="3"/>
        <v>1</v>
      </c>
    </row>
    <row r="220" spans="1:10" x14ac:dyDescent="0.4">
      <c r="A220" s="16" t="s">
        <v>8</v>
      </c>
      <c r="B220" s="15" t="s">
        <v>170</v>
      </c>
      <c r="C220" s="15" t="s">
        <v>197</v>
      </c>
      <c r="D220" s="15" t="s">
        <v>403</v>
      </c>
      <c r="E220" s="15" t="s">
        <v>443</v>
      </c>
      <c r="F220" s="15">
        <v>-0.15333333333333329</v>
      </c>
      <c r="G220" s="15">
        <v>0.26666666666666672</v>
      </c>
      <c r="H220" s="15">
        <v>11</v>
      </c>
      <c r="I220" s="15" t="s">
        <v>443</v>
      </c>
      <c r="J220" s="17">
        <f t="shared" si="3"/>
        <v>1</v>
      </c>
    </row>
    <row r="221" spans="1:10" x14ac:dyDescent="0.4">
      <c r="A221" s="16" t="s">
        <v>8</v>
      </c>
      <c r="B221" s="15" t="s">
        <v>171</v>
      </c>
      <c r="C221" s="15" t="s">
        <v>197</v>
      </c>
      <c r="D221" s="15" t="s">
        <v>404</v>
      </c>
      <c r="E221" s="15" t="s">
        <v>444</v>
      </c>
      <c r="F221" s="15">
        <v>0.10689440993788819</v>
      </c>
      <c r="G221" s="15">
        <v>4.7826086956521741E-2</v>
      </c>
      <c r="H221" s="15">
        <v>14</v>
      </c>
      <c r="I221" s="15" t="s">
        <v>444</v>
      </c>
      <c r="J221" s="17">
        <f t="shared" si="3"/>
        <v>1</v>
      </c>
    </row>
    <row r="222" spans="1:10" x14ac:dyDescent="0.4">
      <c r="A222" s="16" t="s">
        <v>8</v>
      </c>
      <c r="B222" s="15" t="s">
        <v>172</v>
      </c>
      <c r="C222" s="15" t="s">
        <v>237</v>
      </c>
      <c r="D222" s="15" t="s">
        <v>405</v>
      </c>
      <c r="E222" s="15" t="s">
        <v>442</v>
      </c>
      <c r="F222" s="15">
        <v>-1.1428571428571399E-3</v>
      </c>
      <c r="G222" s="15">
        <v>0.12</v>
      </c>
      <c r="H222" s="15">
        <v>13</v>
      </c>
      <c r="I222" s="15" t="s">
        <v>442</v>
      </c>
      <c r="J222" s="17">
        <f t="shared" si="3"/>
        <v>1</v>
      </c>
    </row>
    <row r="223" spans="1:10" x14ac:dyDescent="0.4">
      <c r="A223" s="16" t="s">
        <v>8</v>
      </c>
      <c r="B223" s="15" t="s">
        <v>173</v>
      </c>
      <c r="C223" s="15" t="s">
        <v>237</v>
      </c>
      <c r="D223" s="15" t="s">
        <v>406</v>
      </c>
      <c r="E223" s="15" t="s">
        <v>442</v>
      </c>
      <c r="F223" s="15">
        <v>-7.5818181818181812E-2</v>
      </c>
      <c r="G223" s="15">
        <v>0.12</v>
      </c>
      <c r="H223" s="15">
        <v>13</v>
      </c>
      <c r="I223" s="15" t="s">
        <v>442</v>
      </c>
      <c r="J223" s="17">
        <f t="shared" si="3"/>
        <v>1</v>
      </c>
    </row>
    <row r="224" spans="1:10" x14ac:dyDescent="0.4">
      <c r="A224" s="16" t="s">
        <v>8</v>
      </c>
      <c r="B224" s="15" t="s">
        <v>174</v>
      </c>
      <c r="C224" s="15" t="s">
        <v>188</v>
      </c>
      <c r="D224" s="15" t="s">
        <v>407</v>
      </c>
      <c r="E224" s="15" t="s">
        <v>443</v>
      </c>
      <c r="F224" s="15">
        <v>-0.30499999999999999</v>
      </c>
      <c r="G224" s="15">
        <v>0.15</v>
      </c>
      <c r="H224" s="15">
        <v>12</v>
      </c>
      <c r="I224" s="15" t="s">
        <v>443</v>
      </c>
      <c r="J224" s="17">
        <f t="shared" si="3"/>
        <v>1</v>
      </c>
    </row>
    <row r="225" spans="1:10" x14ac:dyDescent="0.4">
      <c r="A225" s="16" t="s">
        <v>8</v>
      </c>
      <c r="B225" s="15" t="s">
        <v>175</v>
      </c>
      <c r="C225" s="15" t="s">
        <v>211</v>
      </c>
      <c r="D225" s="15" t="s">
        <v>408</v>
      </c>
      <c r="E225" s="15" t="s">
        <v>443</v>
      </c>
      <c r="F225" s="15">
        <v>-0.1066666666666667</v>
      </c>
      <c r="G225" s="15">
        <v>8.8888888888888892E-2</v>
      </c>
      <c r="H225" s="15">
        <v>13</v>
      </c>
      <c r="I225" s="15" t="s">
        <v>443</v>
      </c>
      <c r="J225" s="17">
        <f t="shared" si="3"/>
        <v>1</v>
      </c>
    </row>
    <row r="226" spans="1:10" x14ac:dyDescent="0.4">
      <c r="A226" s="16" t="s">
        <v>8</v>
      </c>
      <c r="B226" s="15" t="s">
        <v>176</v>
      </c>
      <c r="C226" s="15" t="s">
        <v>188</v>
      </c>
      <c r="D226" s="15" t="s">
        <v>409</v>
      </c>
      <c r="E226" s="15" t="s">
        <v>443</v>
      </c>
      <c r="F226" s="15">
        <v>-0.57599999999999996</v>
      </c>
      <c r="G226" s="15">
        <v>0.48</v>
      </c>
      <c r="H226" s="15">
        <v>7</v>
      </c>
      <c r="I226" s="15" t="s">
        <v>444</v>
      </c>
      <c r="J226" s="17">
        <f t="shared" si="3"/>
        <v>0</v>
      </c>
    </row>
    <row r="227" spans="1:10" x14ac:dyDescent="0.4">
      <c r="A227" s="16" t="s">
        <v>8</v>
      </c>
      <c r="B227" s="15" t="s">
        <v>177</v>
      </c>
      <c r="C227" s="15" t="s">
        <v>211</v>
      </c>
      <c r="D227" s="15" t="s">
        <v>410</v>
      </c>
      <c r="E227" s="15" t="s">
        <v>443</v>
      </c>
      <c r="F227" s="15">
        <v>-0.13714285714285709</v>
      </c>
      <c r="G227" s="15">
        <v>0.1142857142857143</v>
      </c>
      <c r="H227" s="15">
        <v>13</v>
      </c>
      <c r="I227" s="15" t="s">
        <v>443</v>
      </c>
      <c r="J227" s="17">
        <f t="shared" si="3"/>
        <v>1</v>
      </c>
    </row>
    <row r="228" spans="1:10" x14ac:dyDescent="0.4">
      <c r="A228" s="16" t="s">
        <v>8</v>
      </c>
      <c r="B228" s="15" t="s">
        <v>178</v>
      </c>
      <c r="C228" s="15" t="s">
        <v>188</v>
      </c>
      <c r="D228" s="15" t="s">
        <v>411</v>
      </c>
      <c r="E228" s="15" t="s">
        <v>443</v>
      </c>
      <c r="F228" s="15">
        <v>-0.38088888888888889</v>
      </c>
      <c r="G228" s="15">
        <v>0.16</v>
      </c>
      <c r="H228" s="15">
        <v>12</v>
      </c>
      <c r="I228" s="15" t="s">
        <v>443</v>
      </c>
      <c r="J228" s="17">
        <f t="shared" si="3"/>
        <v>1</v>
      </c>
    </row>
    <row r="229" spans="1:10" x14ac:dyDescent="0.4">
      <c r="A229" s="16" t="s">
        <v>8</v>
      </c>
      <c r="B229" s="15" t="s">
        <v>179</v>
      </c>
      <c r="C229" s="15" t="s">
        <v>197</v>
      </c>
      <c r="D229" s="15" t="s">
        <v>412</v>
      </c>
      <c r="E229" s="15" t="s">
        <v>444</v>
      </c>
      <c r="F229" s="15">
        <v>0.22730769230769229</v>
      </c>
      <c r="G229" s="15">
        <v>0.1230769230769231</v>
      </c>
      <c r="H229" s="15">
        <v>13</v>
      </c>
      <c r="I229" s="15" t="s">
        <v>444</v>
      </c>
      <c r="J229" s="17">
        <f t="shared" si="3"/>
        <v>1</v>
      </c>
    </row>
    <row r="230" spans="1:10" x14ac:dyDescent="0.4">
      <c r="A230" s="16" t="s">
        <v>8</v>
      </c>
      <c r="B230" s="15" t="s">
        <v>180</v>
      </c>
      <c r="C230" s="15" t="s">
        <v>234</v>
      </c>
      <c r="D230" s="15" t="s">
        <v>413</v>
      </c>
      <c r="E230" s="15" t="s">
        <v>442</v>
      </c>
      <c r="F230" s="15">
        <v>1.818181818181816E-3</v>
      </c>
      <c r="G230" s="15">
        <v>8.1818181818181818E-2</v>
      </c>
      <c r="H230" s="15">
        <v>13</v>
      </c>
      <c r="I230" s="15" t="s">
        <v>443</v>
      </c>
      <c r="J230" s="17">
        <f t="shared" si="3"/>
        <v>0</v>
      </c>
    </row>
    <row r="231" spans="1:10" x14ac:dyDescent="0.4">
      <c r="A231" s="16" t="s">
        <v>8</v>
      </c>
      <c r="B231" s="15" t="s">
        <v>181</v>
      </c>
      <c r="C231" s="15" t="s">
        <v>226</v>
      </c>
      <c r="D231" s="15" t="s">
        <v>414</v>
      </c>
      <c r="E231" s="15" t="s">
        <v>443</v>
      </c>
      <c r="F231" s="15">
        <v>-0.36294117647058821</v>
      </c>
      <c r="G231" s="15">
        <v>9.4117647058823528E-2</v>
      </c>
      <c r="H231" s="15">
        <v>13</v>
      </c>
      <c r="I231" s="15" t="s">
        <v>443</v>
      </c>
      <c r="J231" s="17">
        <f t="shared" si="3"/>
        <v>1</v>
      </c>
    </row>
    <row r="232" spans="1:10" x14ac:dyDescent="0.4">
      <c r="A232" s="16" t="s">
        <v>8</v>
      </c>
      <c r="B232" s="15" t="s">
        <v>182</v>
      </c>
      <c r="C232" s="15" t="s">
        <v>134</v>
      </c>
      <c r="D232" s="15" t="s">
        <v>415</v>
      </c>
      <c r="E232" s="15" t="s">
        <v>442</v>
      </c>
      <c r="F232" s="15">
        <v>1.8181818181818219E-2</v>
      </c>
      <c r="G232" s="15">
        <v>6.8181818181818177E-2</v>
      </c>
      <c r="H232" s="15">
        <v>13</v>
      </c>
      <c r="I232" s="15" t="s">
        <v>442</v>
      </c>
      <c r="J232" s="17">
        <f t="shared" si="3"/>
        <v>1</v>
      </c>
    </row>
    <row r="233" spans="1:10" x14ac:dyDescent="0.4">
      <c r="A233" s="16" t="s">
        <v>8</v>
      </c>
      <c r="B233" s="15" t="s">
        <v>183</v>
      </c>
      <c r="C233" s="15" t="s">
        <v>197</v>
      </c>
      <c r="D233" s="15" t="s">
        <v>416</v>
      </c>
      <c r="E233" s="15" t="s">
        <v>444</v>
      </c>
      <c r="F233" s="15">
        <v>0.64152173913043475</v>
      </c>
      <c r="G233" s="15">
        <v>6.9565217391304349E-2</v>
      </c>
      <c r="H233" s="15">
        <v>13</v>
      </c>
      <c r="I233" s="15" t="s">
        <v>443</v>
      </c>
      <c r="J233" s="17">
        <f t="shared" si="3"/>
        <v>0</v>
      </c>
    </row>
    <row r="234" spans="1:10" x14ac:dyDescent="0.4">
      <c r="A234" s="16" t="s">
        <v>8</v>
      </c>
      <c r="B234" s="15" t="s">
        <v>184</v>
      </c>
      <c r="C234" s="15" t="s">
        <v>218</v>
      </c>
      <c r="D234" s="15" t="s">
        <v>417</v>
      </c>
      <c r="E234" s="15" t="s">
        <v>443</v>
      </c>
      <c r="F234" s="15">
        <v>-0.66600000000000004</v>
      </c>
      <c r="G234" s="15">
        <v>0.18</v>
      </c>
      <c r="H234" s="15">
        <v>12</v>
      </c>
      <c r="I234" s="15" t="s">
        <v>443</v>
      </c>
      <c r="J234" s="17">
        <f t="shared" si="3"/>
        <v>1</v>
      </c>
    </row>
    <row r="235" spans="1:10" x14ac:dyDescent="0.4">
      <c r="A235" s="16" t="s">
        <v>8</v>
      </c>
      <c r="B235" s="15" t="s">
        <v>185</v>
      </c>
      <c r="C235" s="15" t="s">
        <v>188</v>
      </c>
      <c r="D235" s="15" t="s">
        <v>418</v>
      </c>
      <c r="E235" s="15" t="s">
        <v>443</v>
      </c>
      <c r="F235" s="15">
        <v>-0.26181818181818178</v>
      </c>
      <c r="G235" s="15">
        <v>0.2181818181818182</v>
      </c>
      <c r="H235" s="15">
        <v>11</v>
      </c>
      <c r="I235" s="15" t="s">
        <v>443</v>
      </c>
      <c r="J235" s="17">
        <f t="shared" si="3"/>
        <v>1</v>
      </c>
    </row>
    <row r="236" spans="1:10" x14ac:dyDescent="0.4">
      <c r="A236" s="16" t="s">
        <v>8</v>
      </c>
      <c r="B236" s="15" t="s">
        <v>186</v>
      </c>
      <c r="C236" s="15" t="s">
        <v>211</v>
      </c>
      <c r="D236" s="15" t="s">
        <v>419</v>
      </c>
      <c r="E236" s="15" t="s">
        <v>444</v>
      </c>
      <c r="F236" s="15">
        <v>0.1075355297157623</v>
      </c>
      <c r="G236" s="15">
        <v>1.8604651162790701E-2</v>
      </c>
      <c r="H236" s="15">
        <v>14</v>
      </c>
      <c r="I236" s="15" t="s">
        <v>444</v>
      </c>
      <c r="J236" s="17">
        <f t="shared" si="3"/>
        <v>1</v>
      </c>
    </row>
    <row r="237" spans="1:10" x14ac:dyDescent="0.4">
      <c r="A237" s="16" t="s">
        <v>8</v>
      </c>
      <c r="B237" s="15" t="s">
        <v>187</v>
      </c>
      <c r="C237" s="15" t="s">
        <v>197</v>
      </c>
      <c r="D237" s="15" t="s">
        <v>420</v>
      </c>
      <c r="E237" s="15" t="s">
        <v>444</v>
      </c>
      <c r="F237" s="15">
        <v>0.32545454545454539</v>
      </c>
      <c r="G237" s="15">
        <v>0.14545454545454539</v>
      </c>
      <c r="H237" s="15">
        <v>12</v>
      </c>
      <c r="I237" s="15" t="s">
        <v>444</v>
      </c>
      <c r="J237" s="17">
        <f t="shared" si="3"/>
        <v>1</v>
      </c>
    </row>
    <row r="238" spans="1:10" x14ac:dyDescent="0.4">
      <c r="A238" s="16" t="s">
        <v>8</v>
      </c>
      <c r="B238" s="15" t="s">
        <v>189</v>
      </c>
      <c r="C238" s="15" t="s">
        <v>222</v>
      </c>
      <c r="D238" s="15" t="s">
        <v>421</v>
      </c>
      <c r="E238" s="15" t="s">
        <v>444</v>
      </c>
      <c r="F238" s="15">
        <v>0.2871708683473389</v>
      </c>
      <c r="G238" s="15">
        <v>3.5294117647058823E-2</v>
      </c>
      <c r="H238" s="15">
        <v>14</v>
      </c>
      <c r="I238" s="15" t="s">
        <v>444</v>
      </c>
      <c r="J238" s="17">
        <f t="shared" si="3"/>
        <v>1</v>
      </c>
    </row>
    <row r="239" spans="1:10" x14ac:dyDescent="0.4">
      <c r="A239" s="16" t="s">
        <v>8</v>
      </c>
      <c r="B239" s="15" t="s">
        <v>190</v>
      </c>
      <c r="C239" s="15" t="s">
        <v>211</v>
      </c>
      <c r="D239" s="15" t="s">
        <v>422</v>
      </c>
      <c r="E239" s="15" t="s">
        <v>443</v>
      </c>
      <c r="F239" s="15">
        <v>-0.192</v>
      </c>
      <c r="G239" s="15">
        <v>0.16</v>
      </c>
      <c r="H239" s="15">
        <v>12</v>
      </c>
      <c r="I239" s="15" t="s">
        <v>443</v>
      </c>
      <c r="J239" s="17">
        <f t="shared" si="3"/>
        <v>1</v>
      </c>
    </row>
    <row r="240" spans="1:10" x14ac:dyDescent="0.4">
      <c r="A240" s="16" t="s">
        <v>8</v>
      </c>
      <c r="B240" s="15" t="s">
        <v>191</v>
      </c>
      <c r="C240" s="15" t="s">
        <v>197</v>
      </c>
      <c r="D240" s="15" t="s">
        <v>423</v>
      </c>
      <c r="E240" s="15" t="s">
        <v>442</v>
      </c>
      <c r="F240" s="15">
        <v>-7.5999999999999998E-2</v>
      </c>
      <c r="G240" s="15">
        <v>0.08</v>
      </c>
      <c r="H240" s="15">
        <v>13</v>
      </c>
      <c r="I240" s="15" t="s">
        <v>443</v>
      </c>
      <c r="J240" s="17">
        <f t="shared" si="3"/>
        <v>0</v>
      </c>
    </row>
    <row r="241" spans="1:10" x14ac:dyDescent="0.4">
      <c r="A241" s="16" t="s">
        <v>8</v>
      </c>
      <c r="B241" s="15" t="s">
        <v>192</v>
      </c>
      <c r="C241" s="15" t="s">
        <v>215</v>
      </c>
      <c r="D241" s="15" t="s">
        <v>424</v>
      </c>
      <c r="E241" s="15" t="s">
        <v>443</v>
      </c>
      <c r="F241" s="15">
        <v>-0.12</v>
      </c>
      <c r="G241" s="15">
        <v>0.1</v>
      </c>
      <c r="H241" s="15">
        <v>13</v>
      </c>
      <c r="I241" s="15" t="s">
        <v>443</v>
      </c>
      <c r="J241" s="17">
        <f t="shared" si="3"/>
        <v>1</v>
      </c>
    </row>
    <row r="242" spans="1:10" x14ac:dyDescent="0.4">
      <c r="A242" s="16" t="s">
        <v>8</v>
      </c>
      <c r="B242" s="15" t="s">
        <v>193</v>
      </c>
      <c r="C242" s="15" t="s">
        <v>197</v>
      </c>
      <c r="D242" s="15" t="s">
        <v>425</v>
      </c>
      <c r="E242" s="15" t="s">
        <v>443</v>
      </c>
      <c r="F242" s="15">
        <v>-0.1198161764705882</v>
      </c>
      <c r="G242" s="15">
        <v>9.4117647058823528E-2</v>
      </c>
      <c r="H242" s="15">
        <v>13</v>
      </c>
      <c r="I242" s="15" t="s">
        <v>443</v>
      </c>
      <c r="J242" s="17">
        <f t="shared" si="3"/>
        <v>1</v>
      </c>
    </row>
    <row r="243" spans="1:10" x14ac:dyDescent="0.4">
      <c r="A243" s="16" t="s">
        <v>8</v>
      </c>
      <c r="B243" s="15" t="s">
        <v>194</v>
      </c>
      <c r="C243" s="15" t="s">
        <v>197</v>
      </c>
      <c r="D243" s="15" t="s">
        <v>426</v>
      </c>
      <c r="E243" s="15" t="s">
        <v>443</v>
      </c>
      <c r="F243" s="15">
        <v>-0.38400000000000001</v>
      </c>
      <c r="G243" s="15">
        <v>0.32</v>
      </c>
      <c r="H243" s="15">
        <v>10</v>
      </c>
      <c r="I243" s="15" t="s">
        <v>443</v>
      </c>
      <c r="J243" s="17">
        <f t="shared" si="3"/>
        <v>1</v>
      </c>
    </row>
    <row r="244" spans="1:10" x14ac:dyDescent="0.4">
      <c r="A244" s="16" t="s">
        <v>8</v>
      </c>
      <c r="B244" s="15" t="s">
        <v>77</v>
      </c>
      <c r="C244" s="15" t="s">
        <v>197</v>
      </c>
      <c r="D244" s="15" t="s">
        <v>310</v>
      </c>
      <c r="E244" s="15" t="s">
        <v>443</v>
      </c>
      <c r="F244" s="15">
        <v>-0.24</v>
      </c>
      <c r="G244" s="15">
        <v>0.2</v>
      </c>
      <c r="H244" s="15">
        <v>12</v>
      </c>
      <c r="I244" s="15" t="s">
        <v>443</v>
      </c>
      <c r="J244" s="17">
        <f t="shared" si="3"/>
        <v>1</v>
      </c>
    </row>
    <row r="245" spans="1:10" x14ac:dyDescent="0.4">
      <c r="A245" s="16" t="s">
        <v>8</v>
      </c>
      <c r="B245" s="15" t="s">
        <v>78</v>
      </c>
      <c r="C245" s="15" t="s">
        <v>211</v>
      </c>
      <c r="D245" s="15" t="s">
        <v>311</v>
      </c>
      <c r="E245" s="15" t="s">
        <v>442</v>
      </c>
      <c r="F245" s="15">
        <v>-2.129870129870131E-2</v>
      </c>
      <c r="G245" s="15">
        <v>3.8095238095238099E-2</v>
      </c>
      <c r="H245" s="15">
        <v>14</v>
      </c>
      <c r="I245" s="15" t="s">
        <v>442</v>
      </c>
      <c r="J245" s="17">
        <f t="shared" si="3"/>
        <v>1</v>
      </c>
    </row>
    <row r="246" spans="1:10" x14ac:dyDescent="0.4">
      <c r="A246" s="16" t="s">
        <v>8</v>
      </c>
      <c r="B246" s="15" t="s">
        <v>79</v>
      </c>
      <c r="C246" s="15" t="s">
        <v>134</v>
      </c>
      <c r="D246" s="15" t="s">
        <v>312</v>
      </c>
      <c r="E246" s="15" t="s">
        <v>442</v>
      </c>
      <c r="F246" s="15">
        <v>-8.7272727272727266E-2</v>
      </c>
      <c r="G246" s="15">
        <v>7.2727272727272724E-2</v>
      </c>
      <c r="H246" s="15">
        <v>13</v>
      </c>
      <c r="I246" s="15" t="s">
        <v>442</v>
      </c>
      <c r="J246" s="17">
        <f t="shared" si="3"/>
        <v>1</v>
      </c>
    </row>
    <row r="247" spans="1:10" x14ac:dyDescent="0.4">
      <c r="A247" s="16" t="s">
        <v>8</v>
      </c>
      <c r="B247" s="15" t="s">
        <v>80</v>
      </c>
      <c r="C247" s="15" t="s">
        <v>220</v>
      </c>
      <c r="D247" s="15" t="s">
        <v>313</v>
      </c>
      <c r="E247" s="15" t="s">
        <v>442</v>
      </c>
      <c r="F247" s="15">
        <v>-9.6363636363636346E-2</v>
      </c>
      <c r="G247" s="15">
        <v>0.16363636363636361</v>
      </c>
      <c r="H247" s="15">
        <v>12</v>
      </c>
      <c r="I247" s="15" t="s">
        <v>442</v>
      </c>
      <c r="J247" s="17">
        <f t="shared" si="3"/>
        <v>1</v>
      </c>
    </row>
    <row r="248" spans="1:10" x14ac:dyDescent="0.4">
      <c r="A248" s="16" t="s">
        <v>8</v>
      </c>
      <c r="B248" s="15" t="s">
        <v>81</v>
      </c>
      <c r="C248" s="15" t="s">
        <v>197</v>
      </c>
      <c r="D248" s="15" t="s">
        <v>314</v>
      </c>
      <c r="E248" s="15" t="s">
        <v>442</v>
      </c>
      <c r="F248" s="15">
        <v>-2.8000000000000001E-2</v>
      </c>
      <c r="G248" s="15">
        <v>0.1066666666666667</v>
      </c>
      <c r="H248" s="15">
        <v>13</v>
      </c>
      <c r="I248" s="15" t="s">
        <v>442</v>
      </c>
      <c r="J248" s="17">
        <f t="shared" si="3"/>
        <v>1</v>
      </c>
    </row>
    <row r="249" spans="1:10" x14ac:dyDescent="0.4">
      <c r="A249" s="16" t="s">
        <v>8</v>
      </c>
      <c r="B249" s="15" t="s">
        <v>82</v>
      </c>
      <c r="C249" s="15" t="s">
        <v>211</v>
      </c>
      <c r="D249" s="15" t="s">
        <v>315</v>
      </c>
      <c r="E249" s="15" t="s">
        <v>443</v>
      </c>
      <c r="F249" s="15">
        <v>-0.34599999999999997</v>
      </c>
      <c r="G249" s="15">
        <v>0.08</v>
      </c>
      <c r="H249" s="15">
        <v>13</v>
      </c>
      <c r="I249" s="15" t="s">
        <v>443</v>
      </c>
      <c r="J249" s="17">
        <f t="shared" si="3"/>
        <v>1</v>
      </c>
    </row>
    <row r="250" spans="1:10" x14ac:dyDescent="0.4">
      <c r="A250" s="16" t="s">
        <v>8</v>
      </c>
      <c r="B250" s="15" t="s">
        <v>83</v>
      </c>
      <c r="C250" s="15" t="s">
        <v>235</v>
      </c>
      <c r="D250" s="15" t="s">
        <v>316</v>
      </c>
      <c r="E250" s="15" t="s">
        <v>443</v>
      </c>
      <c r="F250" s="15">
        <v>-0.31636363636363629</v>
      </c>
      <c r="G250" s="15">
        <v>0.26363636363636361</v>
      </c>
      <c r="H250" s="15">
        <v>11</v>
      </c>
      <c r="I250" s="15" t="s">
        <v>443</v>
      </c>
      <c r="J250" s="17">
        <f t="shared" si="3"/>
        <v>1</v>
      </c>
    </row>
    <row r="251" spans="1:10" x14ac:dyDescent="0.4">
      <c r="A251" s="16" t="s">
        <v>8</v>
      </c>
      <c r="B251" s="15" t="s">
        <v>84</v>
      </c>
      <c r="C251" s="15" t="s">
        <v>197</v>
      </c>
      <c r="D251" s="15" t="s">
        <v>317</v>
      </c>
      <c r="E251" s="15" t="s">
        <v>442</v>
      </c>
      <c r="F251" s="15">
        <v>2.545454545454548E-2</v>
      </c>
      <c r="G251" s="15">
        <v>0.14545454545454539</v>
      </c>
      <c r="H251" s="15">
        <v>12</v>
      </c>
      <c r="I251" s="15" t="s">
        <v>444</v>
      </c>
      <c r="J251" s="17">
        <f t="shared" si="3"/>
        <v>0</v>
      </c>
    </row>
    <row r="252" spans="1:10" x14ac:dyDescent="0.4">
      <c r="A252" s="16" t="s">
        <v>8</v>
      </c>
      <c r="B252" s="15" t="s">
        <v>85</v>
      </c>
      <c r="C252" s="15" t="s">
        <v>211</v>
      </c>
      <c r="D252" s="15" t="s">
        <v>318</v>
      </c>
      <c r="E252" s="15" t="s">
        <v>444</v>
      </c>
      <c r="F252" s="15">
        <v>0.28969696969696968</v>
      </c>
      <c r="G252" s="15">
        <v>3.6363636363636362E-2</v>
      </c>
      <c r="H252" s="15">
        <v>14</v>
      </c>
      <c r="I252" s="15" t="s">
        <v>444</v>
      </c>
      <c r="J252" s="17">
        <f t="shared" si="3"/>
        <v>1</v>
      </c>
    </row>
    <row r="253" spans="1:10" x14ac:dyDescent="0.4">
      <c r="A253" s="16" t="s">
        <v>8</v>
      </c>
      <c r="B253" s="15" t="s">
        <v>86</v>
      </c>
      <c r="C253" s="15" t="s">
        <v>211</v>
      </c>
      <c r="D253" s="15" t="s">
        <v>319</v>
      </c>
      <c r="E253" s="15" t="s">
        <v>442</v>
      </c>
      <c r="F253" s="15">
        <v>-0.02</v>
      </c>
      <c r="G253" s="15">
        <v>4.4444444444444453E-2</v>
      </c>
      <c r="H253" s="15">
        <v>14</v>
      </c>
      <c r="I253" s="15" t="s">
        <v>442</v>
      </c>
      <c r="J253" s="17">
        <f t="shared" si="3"/>
        <v>1</v>
      </c>
    </row>
    <row r="254" spans="1:10" x14ac:dyDescent="0.4">
      <c r="A254" s="16" t="s">
        <v>8</v>
      </c>
      <c r="B254" s="15" t="s">
        <v>87</v>
      </c>
      <c r="C254" s="15" t="s">
        <v>197</v>
      </c>
      <c r="D254" s="15" t="s">
        <v>320</v>
      </c>
      <c r="E254" s="15" t="s">
        <v>443</v>
      </c>
      <c r="F254" s="15">
        <v>-0.32</v>
      </c>
      <c r="G254" s="15">
        <v>0.26666666666666672</v>
      </c>
      <c r="H254" s="15">
        <v>11</v>
      </c>
      <c r="I254" s="15" t="s">
        <v>443</v>
      </c>
      <c r="J254" s="17">
        <f t="shared" si="3"/>
        <v>1</v>
      </c>
    </row>
    <row r="255" spans="1:10" x14ac:dyDescent="0.4">
      <c r="A255" s="16" t="s">
        <v>8</v>
      </c>
      <c r="B255" s="15" t="s">
        <v>88</v>
      </c>
      <c r="C255" s="15" t="s">
        <v>211</v>
      </c>
      <c r="D255" s="15" t="s">
        <v>321</v>
      </c>
      <c r="E255" s="15" t="s">
        <v>442</v>
      </c>
      <c r="F255" s="15">
        <v>-9.6000000000000002E-2</v>
      </c>
      <c r="G255" s="15">
        <v>0.08</v>
      </c>
      <c r="H255" s="15">
        <v>13</v>
      </c>
      <c r="I255" s="15" t="s">
        <v>442</v>
      </c>
      <c r="J255" s="17">
        <f t="shared" si="3"/>
        <v>1</v>
      </c>
    </row>
    <row r="256" spans="1:10" x14ac:dyDescent="0.4">
      <c r="A256" s="16" t="s">
        <v>8</v>
      </c>
      <c r="B256" s="15" t="s">
        <v>89</v>
      </c>
      <c r="C256" s="15" t="s">
        <v>188</v>
      </c>
      <c r="D256" s="15" t="s">
        <v>322</v>
      </c>
      <c r="E256" s="15" t="s">
        <v>444</v>
      </c>
      <c r="F256" s="15">
        <v>0.14000000000000001</v>
      </c>
      <c r="G256" s="15">
        <v>0.3</v>
      </c>
      <c r="H256" s="15">
        <v>10</v>
      </c>
      <c r="I256" s="15" t="s">
        <v>443</v>
      </c>
      <c r="J256" s="17">
        <f t="shared" si="3"/>
        <v>0</v>
      </c>
    </row>
    <row r="257" spans="1:10" x14ac:dyDescent="0.4">
      <c r="A257" s="16" t="s">
        <v>8</v>
      </c>
      <c r="B257" s="15" t="s">
        <v>90</v>
      </c>
      <c r="C257" s="15" t="s">
        <v>188</v>
      </c>
      <c r="D257" s="15" t="s">
        <v>323</v>
      </c>
      <c r="E257" s="15" t="s">
        <v>443</v>
      </c>
      <c r="F257" s="15">
        <v>-0.57599999999999996</v>
      </c>
      <c r="G257" s="15">
        <v>0.48</v>
      </c>
      <c r="H257" s="15">
        <v>7</v>
      </c>
      <c r="I257" s="15" t="s">
        <v>444</v>
      </c>
      <c r="J257" s="17">
        <f t="shared" si="3"/>
        <v>0</v>
      </c>
    </row>
    <row r="258" spans="1:10" x14ac:dyDescent="0.4">
      <c r="A258" s="16" t="s">
        <v>8</v>
      </c>
      <c r="B258" s="15" t="s">
        <v>91</v>
      </c>
      <c r="C258" s="15" t="s">
        <v>188</v>
      </c>
      <c r="D258" s="15" t="s">
        <v>324</v>
      </c>
      <c r="E258" s="15" t="s">
        <v>442</v>
      </c>
      <c r="F258" s="15">
        <v>-8.0555555555555561E-2</v>
      </c>
      <c r="G258" s="15">
        <v>8.3333333333333329E-2</v>
      </c>
      <c r="H258" s="15">
        <v>13</v>
      </c>
      <c r="I258" s="15" t="s">
        <v>443</v>
      </c>
      <c r="J258" s="17">
        <f t="shared" si="3"/>
        <v>0</v>
      </c>
    </row>
    <row r="259" spans="1:10" x14ac:dyDescent="0.4">
      <c r="A259" s="16" t="s">
        <v>8</v>
      </c>
      <c r="B259" s="15" t="s">
        <v>92</v>
      </c>
      <c r="C259" s="15" t="s">
        <v>211</v>
      </c>
      <c r="D259" s="15" t="s">
        <v>325</v>
      </c>
      <c r="E259" s="15" t="s">
        <v>442</v>
      </c>
      <c r="F259" s="15">
        <v>-4.3636363636363633E-2</v>
      </c>
      <c r="G259" s="15">
        <v>3.6363636363636362E-2</v>
      </c>
      <c r="H259" s="15">
        <v>14</v>
      </c>
      <c r="I259" s="15" t="s">
        <v>442</v>
      </c>
      <c r="J259" s="17">
        <f t="shared" si="3"/>
        <v>1</v>
      </c>
    </row>
    <row r="260" spans="1:10" x14ac:dyDescent="0.4">
      <c r="A260" s="16" t="s">
        <v>8</v>
      </c>
      <c r="B260" s="15" t="s">
        <v>93</v>
      </c>
      <c r="C260" s="15" t="s">
        <v>227</v>
      </c>
      <c r="D260" s="15" t="s">
        <v>326</v>
      </c>
      <c r="E260" s="15" t="s">
        <v>442</v>
      </c>
      <c r="F260" s="15">
        <v>0</v>
      </c>
      <c r="G260" s="15">
        <v>0</v>
      </c>
      <c r="H260" s="15">
        <v>15</v>
      </c>
      <c r="I260" s="15" t="s">
        <v>442</v>
      </c>
      <c r="J260" s="17">
        <f t="shared" si="3"/>
        <v>1</v>
      </c>
    </row>
    <row r="261" spans="1:10" x14ac:dyDescent="0.4">
      <c r="A261" s="16" t="s">
        <v>8</v>
      </c>
      <c r="B261" s="15" t="s">
        <v>94</v>
      </c>
      <c r="C261" s="15" t="s">
        <v>217</v>
      </c>
      <c r="D261" s="15" t="s">
        <v>327</v>
      </c>
      <c r="E261" s="15" t="s">
        <v>443</v>
      </c>
      <c r="F261" s="15">
        <v>-0.19636363636363641</v>
      </c>
      <c r="G261" s="15">
        <v>0.16363636363636361</v>
      </c>
      <c r="H261" s="15">
        <v>12</v>
      </c>
      <c r="I261" s="15" t="s">
        <v>443</v>
      </c>
      <c r="J261" s="17">
        <f t="shared" si="3"/>
        <v>1</v>
      </c>
    </row>
    <row r="262" spans="1:10" x14ac:dyDescent="0.4">
      <c r="A262" s="16" t="s">
        <v>8</v>
      </c>
      <c r="B262" s="15" t="s">
        <v>95</v>
      </c>
      <c r="C262" s="15" t="s">
        <v>188</v>
      </c>
      <c r="D262" s="15" t="s">
        <v>328</v>
      </c>
      <c r="E262" s="15" t="s">
        <v>443</v>
      </c>
      <c r="F262" s="15">
        <v>-0.48</v>
      </c>
      <c r="G262" s="15">
        <v>0.4</v>
      </c>
      <c r="H262" s="15">
        <v>9</v>
      </c>
      <c r="I262" s="15" t="s">
        <v>444</v>
      </c>
      <c r="J262" s="17">
        <f t="shared" si="3"/>
        <v>0</v>
      </c>
    </row>
    <row r="263" spans="1:10" x14ac:dyDescent="0.4">
      <c r="A263" s="16" t="s">
        <v>8</v>
      </c>
      <c r="B263" s="15" t="s">
        <v>96</v>
      </c>
      <c r="C263" s="15" t="s">
        <v>217</v>
      </c>
      <c r="D263" s="15" t="s">
        <v>329</v>
      </c>
      <c r="E263" s="15" t="s">
        <v>443</v>
      </c>
      <c r="F263" s="15">
        <v>-0.24</v>
      </c>
      <c r="G263" s="15">
        <v>0.2</v>
      </c>
      <c r="H263" s="15">
        <v>12</v>
      </c>
      <c r="I263" s="15" t="s">
        <v>443</v>
      </c>
      <c r="J263" s="17">
        <f t="shared" ref="J263:J326" si="4">IF(I263=E263,1,0)</f>
        <v>1</v>
      </c>
    </row>
    <row r="264" spans="1:10" x14ac:dyDescent="0.4">
      <c r="A264" s="16" t="s">
        <v>8</v>
      </c>
      <c r="B264" s="15" t="s">
        <v>97</v>
      </c>
      <c r="C264" s="15" t="s">
        <v>211</v>
      </c>
      <c r="D264" s="15" t="s">
        <v>330</v>
      </c>
      <c r="E264" s="15" t="s">
        <v>443</v>
      </c>
      <c r="F264" s="15">
        <v>-0.59599999999999986</v>
      </c>
      <c r="G264" s="15">
        <v>0.08</v>
      </c>
      <c r="H264" s="15">
        <v>13</v>
      </c>
      <c r="I264" s="15" t="s">
        <v>443</v>
      </c>
      <c r="J264" s="17">
        <f t="shared" si="4"/>
        <v>1</v>
      </c>
    </row>
    <row r="265" spans="1:10" x14ac:dyDescent="0.4">
      <c r="A265" s="16" t="s">
        <v>8</v>
      </c>
      <c r="B265" s="15" t="s">
        <v>98</v>
      </c>
      <c r="C265" s="15" t="s">
        <v>211</v>
      </c>
      <c r="D265" s="15" t="s">
        <v>331</v>
      </c>
      <c r="E265" s="15" t="s">
        <v>443</v>
      </c>
      <c r="F265" s="15">
        <v>-0.12</v>
      </c>
      <c r="G265" s="15">
        <v>0.1</v>
      </c>
      <c r="H265" s="15">
        <v>13</v>
      </c>
      <c r="I265" s="15" t="s">
        <v>443</v>
      </c>
      <c r="J265" s="17">
        <f t="shared" si="4"/>
        <v>1</v>
      </c>
    </row>
    <row r="266" spans="1:10" x14ac:dyDescent="0.4">
      <c r="A266" s="16" t="s">
        <v>8</v>
      </c>
      <c r="B266" s="15" t="s">
        <v>99</v>
      </c>
      <c r="C266" s="15" t="s">
        <v>197</v>
      </c>
      <c r="D266" s="15" t="s">
        <v>332</v>
      </c>
      <c r="E266" s="15" t="s">
        <v>443</v>
      </c>
      <c r="F266" s="15">
        <v>-0.29666666666666669</v>
      </c>
      <c r="G266" s="15">
        <v>0.17777777777777781</v>
      </c>
      <c r="H266" s="15">
        <v>12</v>
      </c>
      <c r="I266" s="15" t="s">
        <v>443</v>
      </c>
      <c r="J266" s="17">
        <f t="shared" si="4"/>
        <v>1</v>
      </c>
    </row>
    <row r="267" spans="1:10" x14ac:dyDescent="0.4">
      <c r="A267" s="16" t="s">
        <v>8</v>
      </c>
      <c r="B267" s="15" t="s">
        <v>100</v>
      </c>
      <c r="C267" s="15" t="s">
        <v>211</v>
      </c>
      <c r="D267" s="15" t="s">
        <v>333</v>
      </c>
      <c r="E267" s="15" t="s">
        <v>442</v>
      </c>
      <c r="F267" s="15">
        <v>-4.8000000000000001E-2</v>
      </c>
      <c r="G267" s="15">
        <v>0.04</v>
      </c>
      <c r="H267" s="15">
        <v>14</v>
      </c>
      <c r="I267" s="15" t="s">
        <v>442</v>
      </c>
      <c r="J267" s="17">
        <f t="shared" si="4"/>
        <v>1</v>
      </c>
    </row>
    <row r="268" spans="1:10" x14ac:dyDescent="0.4">
      <c r="A268" s="16" t="s">
        <v>8</v>
      </c>
      <c r="B268" s="15" t="s">
        <v>101</v>
      </c>
      <c r="C268" s="15" t="s">
        <v>211</v>
      </c>
      <c r="D268" s="15" t="s">
        <v>334</v>
      </c>
      <c r="E268" s="15" t="s">
        <v>442</v>
      </c>
      <c r="F268" s="15">
        <v>-9.6000000000000002E-2</v>
      </c>
      <c r="G268" s="15">
        <v>0.08</v>
      </c>
      <c r="H268" s="15">
        <v>13</v>
      </c>
      <c r="I268" s="15" t="s">
        <v>442</v>
      </c>
      <c r="J268" s="17">
        <f t="shared" si="4"/>
        <v>1</v>
      </c>
    </row>
    <row r="269" spans="1:10" x14ac:dyDescent="0.4">
      <c r="A269" s="16" t="s">
        <v>8</v>
      </c>
      <c r="B269" s="15" t="s">
        <v>102</v>
      </c>
      <c r="C269" s="15" t="s">
        <v>211</v>
      </c>
      <c r="D269" s="15" t="s">
        <v>335</v>
      </c>
      <c r="E269" s="15" t="s">
        <v>444</v>
      </c>
      <c r="F269" s="15">
        <v>0.11285714285714291</v>
      </c>
      <c r="G269" s="15">
        <v>0.1142857142857143</v>
      </c>
      <c r="H269" s="15">
        <v>13</v>
      </c>
      <c r="I269" s="15" t="s">
        <v>444</v>
      </c>
      <c r="J269" s="17">
        <f t="shared" si="4"/>
        <v>1</v>
      </c>
    </row>
    <row r="270" spans="1:10" x14ac:dyDescent="0.4">
      <c r="A270" s="16" t="s">
        <v>8</v>
      </c>
      <c r="B270" s="15" t="s">
        <v>103</v>
      </c>
      <c r="C270" s="15" t="s">
        <v>211</v>
      </c>
      <c r="D270" s="15" t="s">
        <v>336</v>
      </c>
      <c r="E270" s="15" t="s">
        <v>443</v>
      </c>
      <c r="F270" s="15">
        <v>-0.12</v>
      </c>
      <c r="G270" s="15">
        <v>0.1</v>
      </c>
      <c r="H270" s="15">
        <v>13</v>
      </c>
      <c r="I270" s="15" t="s">
        <v>443</v>
      </c>
      <c r="J270" s="17">
        <f t="shared" si="4"/>
        <v>1</v>
      </c>
    </row>
    <row r="271" spans="1:10" x14ac:dyDescent="0.4">
      <c r="A271" s="16" t="s">
        <v>8</v>
      </c>
      <c r="B271" s="15" t="s">
        <v>104</v>
      </c>
      <c r="C271" s="15" t="s">
        <v>197</v>
      </c>
      <c r="D271" s="15" t="s">
        <v>337</v>
      </c>
      <c r="E271" s="15" t="s">
        <v>442</v>
      </c>
      <c r="F271" s="15">
        <v>9.5064102564102582E-2</v>
      </c>
      <c r="G271" s="15">
        <v>4.230769230769231E-2</v>
      </c>
      <c r="H271" s="15">
        <v>14</v>
      </c>
      <c r="I271" s="15" t="s">
        <v>444</v>
      </c>
      <c r="J271" s="17">
        <f t="shared" si="4"/>
        <v>0</v>
      </c>
    </row>
    <row r="272" spans="1:10" x14ac:dyDescent="0.4">
      <c r="A272" s="16" t="s">
        <v>8</v>
      </c>
      <c r="B272" s="15" t="s">
        <v>105</v>
      </c>
      <c r="C272" s="15" t="s">
        <v>217</v>
      </c>
      <c r="D272" s="15" t="s">
        <v>338</v>
      </c>
      <c r="E272" s="15" t="s">
        <v>443</v>
      </c>
      <c r="F272" s="15">
        <v>-0.432</v>
      </c>
      <c r="G272" s="15">
        <v>0.36</v>
      </c>
      <c r="H272" s="15">
        <v>9</v>
      </c>
      <c r="I272" s="15" t="s">
        <v>443</v>
      </c>
      <c r="J272" s="17">
        <f t="shared" si="4"/>
        <v>1</v>
      </c>
    </row>
    <row r="273" spans="1:10" x14ac:dyDescent="0.4">
      <c r="A273" s="16" t="s">
        <v>8</v>
      </c>
      <c r="B273" s="15" t="s">
        <v>106</v>
      </c>
      <c r="C273" s="15" t="s">
        <v>220</v>
      </c>
      <c r="D273" s="15" t="s">
        <v>339</v>
      </c>
      <c r="E273" s="15" t="s">
        <v>442</v>
      </c>
      <c r="F273" s="15">
        <v>-4.4562937062937069E-2</v>
      </c>
      <c r="G273" s="15">
        <v>0.1384615384615385</v>
      </c>
      <c r="H273" s="15">
        <v>12</v>
      </c>
      <c r="I273" s="15" t="s">
        <v>442</v>
      </c>
      <c r="J273" s="17">
        <f t="shared" si="4"/>
        <v>1</v>
      </c>
    </row>
    <row r="274" spans="1:10" x14ac:dyDescent="0.4">
      <c r="A274" s="16" t="s">
        <v>8</v>
      </c>
      <c r="B274" s="15" t="s">
        <v>107</v>
      </c>
      <c r="C274" s="15" t="s">
        <v>197</v>
      </c>
      <c r="D274" s="15" t="s">
        <v>340</v>
      </c>
      <c r="E274" s="15" t="s">
        <v>442</v>
      </c>
      <c r="F274" s="15">
        <v>1.1666666666666631E-2</v>
      </c>
      <c r="G274" s="15">
        <v>0.17777777777777781</v>
      </c>
      <c r="H274" s="15">
        <v>12</v>
      </c>
      <c r="I274" s="15" t="s">
        <v>442</v>
      </c>
      <c r="J274" s="17">
        <f t="shared" si="4"/>
        <v>1</v>
      </c>
    </row>
    <row r="275" spans="1:10" x14ac:dyDescent="0.4">
      <c r="A275" s="16" t="s">
        <v>8</v>
      </c>
      <c r="B275" s="15" t="s">
        <v>108</v>
      </c>
      <c r="C275" s="15" t="s">
        <v>197</v>
      </c>
      <c r="D275" s="15" t="s">
        <v>341</v>
      </c>
      <c r="E275" s="15" t="s">
        <v>443</v>
      </c>
      <c r="F275" s="15">
        <v>-0.35871794871794871</v>
      </c>
      <c r="G275" s="15">
        <v>0.14615384615384619</v>
      </c>
      <c r="H275" s="15">
        <v>12</v>
      </c>
      <c r="I275" s="15" t="s">
        <v>443</v>
      </c>
      <c r="J275" s="17">
        <f t="shared" si="4"/>
        <v>1</v>
      </c>
    </row>
    <row r="276" spans="1:10" x14ac:dyDescent="0.4">
      <c r="A276" s="16" t="s">
        <v>8</v>
      </c>
      <c r="B276" s="15" t="s">
        <v>109</v>
      </c>
      <c r="C276" s="15" t="s">
        <v>218</v>
      </c>
      <c r="D276" s="15" t="s">
        <v>342</v>
      </c>
      <c r="E276" s="15" t="s">
        <v>443</v>
      </c>
      <c r="F276" s="15">
        <v>-0.18</v>
      </c>
      <c r="G276" s="15">
        <v>0.15</v>
      </c>
      <c r="H276" s="15">
        <v>12</v>
      </c>
      <c r="I276" s="15" t="s">
        <v>443</v>
      </c>
      <c r="J276" s="17">
        <f t="shared" si="4"/>
        <v>1</v>
      </c>
    </row>
    <row r="277" spans="1:10" x14ac:dyDescent="0.4">
      <c r="A277" s="16" t="s">
        <v>8</v>
      </c>
      <c r="B277" s="15" t="s">
        <v>110</v>
      </c>
      <c r="C277" s="15" t="s">
        <v>217</v>
      </c>
      <c r="D277" s="15" t="s">
        <v>343</v>
      </c>
      <c r="E277" s="15" t="s">
        <v>443</v>
      </c>
      <c r="F277" s="15">
        <v>-0.30857142857142861</v>
      </c>
      <c r="G277" s="15">
        <v>0.25714285714285712</v>
      </c>
      <c r="H277" s="15">
        <v>11</v>
      </c>
      <c r="I277" s="15" t="s">
        <v>444</v>
      </c>
      <c r="J277" s="17">
        <f t="shared" si="4"/>
        <v>0</v>
      </c>
    </row>
    <row r="278" spans="1:10" x14ac:dyDescent="0.4">
      <c r="A278" s="16" t="s">
        <v>8</v>
      </c>
      <c r="B278" s="15" t="s">
        <v>111</v>
      </c>
      <c r="C278" s="15" t="s">
        <v>211</v>
      </c>
      <c r="D278" s="15" t="s">
        <v>344</v>
      </c>
      <c r="E278" s="15" t="s">
        <v>443</v>
      </c>
      <c r="F278" s="15">
        <v>-0.22</v>
      </c>
      <c r="G278" s="15">
        <v>0.1</v>
      </c>
      <c r="H278" s="15">
        <v>13</v>
      </c>
      <c r="I278" s="15" t="s">
        <v>443</v>
      </c>
      <c r="J278" s="17">
        <f t="shared" si="4"/>
        <v>1</v>
      </c>
    </row>
    <row r="279" spans="1:10" x14ac:dyDescent="0.4">
      <c r="A279" s="16" t="s">
        <v>8</v>
      </c>
      <c r="B279" s="15" t="s">
        <v>112</v>
      </c>
      <c r="C279" s="15" t="s">
        <v>211</v>
      </c>
      <c r="D279" s="15" t="s">
        <v>345</v>
      </c>
      <c r="E279" s="15" t="s">
        <v>443</v>
      </c>
      <c r="F279" s="15">
        <v>-0.31</v>
      </c>
      <c r="G279" s="15">
        <v>0.05</v>
      </c>
      <c r="H279" s="15">
        <v>14</v>
      </c>
      <c r="I279" s="15" t="s">
        <v>443</v>
      </c>
      <c r="J279" s="17">
        <f t="shared" si="4"/>
        <v>1</v>
      </c>
    </row>
    <row r="280" spans="1:10" x14ac:dyDescent="0.4">
      <c r="A280" s="16" t="s">
        <v>8</v>
      </c>
      <c r="B280" s="15" t="s">
        <v>113</v>
      </c>
      <c r="C280" s="15" t="s">
        <v>211</v>
      </c>
      <c r="D280" s="15" t="s">
        <v>346</v>
      </c>
      <c r="E280" s="15" t="s">
        <v>443</v>
      </c>
      <c r="F280" s="15">
        <v>-0.16</v>
      </c>
      <c r="G280" s="15">
        <v>0.1333333333333333</v>
      </c>
      <c r="H280" s="15">
        <v>13</v>
      </c>
      <c r="I280" s="15" t="s">
        <v>443</v>
      </c>
      <c r="J280" s="17">
        <f t="shared" si="4"/>
        <v>1</v>
      </c>
    </row>
    <row r="281" spans="1:10" x14ac:dyDescent="0.4">
      <c r="A281" s="16" t="s">
        <v>8</v>
      </c>
      <c r="B281" s="15" t="s">
        <v>114</v>
      </c>
      <c r="C281" s="15" t="s">
        <v>211</v>
      </c>
      <c r="D281" s="15" t="s">
        <v>347</v>
      </c>
      <c r="E281" s="15" t="s">
        <v>444</v>
      </c>
      <c r="F281" s="15">
        <v>0.17447368421052631</v>
      </c>
      <c r="G281" s="15">
        <v>4.2105263157894743E-2</v>
      </c>
      <c r="H281" s="15">
        <v>14</v>
      </c>
      <c r="I281" s="15" t="s">
        <v>443</v>
      </c>
      <c r="J281" s="17">
        <f t="shared" si="4"/>
        <v>0</v>
      </c>
    </row>
    <row r="282" spans="1:10" x14ac:dyDescent="0.4">
      <c r="A282" s="16" t="s">
        <v>8</v>
      </c>
      <c r="B282" s="15" t="s">
        <v>115</v>
      </c>
      <c r="C282" s="15" t="s">
        <v>217</v>
      </c>
      <c r="D282" s="15" t="s">
        <v>348</v>
      </c>
      <c r="E282" s="15" t="s">
        <v>443</v>
      </c>
      <c r="F282" s="15">
        <v>-0.23266666666666669</v>
      </c>
      <c r="G282" s="15">
        <v>0.18</v>
      </c>
      <c r="H282" s="15">
        <v>12</v>
      </c>
      <c r="I282" s="15" t="s">
        <v>443</v>
      </c>
      <c r="J282" s="17">
        <f t="shared" si="4"/>
        <v>1</v>
      </c>
    </row>
    <row r="283" spans="1:10" x14ac:dyDescent="0.4">
      <c r="A283" s="16" t="s">
        <v>8</v>
      </c>
      <c r="B283" s="15" t="s">
        <v>116</v>
      </c>
      <c r="C283" s="15" t="s">
        <v>197</v>
      </c>
      <c r="D283" s="15" t="s">
        <v>349</v>
      </c>
      <c r="E283" s="15" t="s">
        <v>443</v>
      </c>
      <c r="F283" s="15">
        <v>-0.128</v>
      </c>
      <c r="G283" s="15">
        <v>0.1066666666666667</v>
      </c>
      <c r="H283" s="15">
        <v>13</v>
      </c>
      <c r="I283" s="15" t="s">
        <v>444</v>
      </c>
      <c r="J283" s="17">
        <f t="shared" si="4"/>
        <v>0</v>
      </c>
    </row>
    <row r="284" spans="1:10" x14ac:dyDescent="0.4">
      <c r="A284" s="16" t="s">
        <v>8</v>
      </c>
      <c r="B284" s="15" t="s">
        <v>117</v>
      </c>
      <c r="C284" s="15" t="s">
        <v>211</v>
      </c>
      <c r="D284" s="15" t="s">
        <v>350</v>
      </c>
      <c r="E284" s="15" t="s">
        <v>443</v>
      </c>
      <c r="F284" s="15">
        <v>-0.32</v>
      </c>
      <c r="G284" s="15">
        <v>0.26666666666666672</v>
      </c>
      <c r="H284" s="15">
        <v>11</v>
      </c>
      <c r="I284" s="15" t="s">
        <v>443</v>
      </c>
      <c r="J284" s="17">
        <f t="shared" si="4"/>
        <v>1</v>
      </c>
    </row>
    <row r="285" spans="1:10" x14ac:dyDescent="0.4">
      <c r="A285" s="16" t="s">
        <v>8</v>
      </c>
      <c r="B285" s="15" t="s">
        <v>118</v>
      </c>
      <c r="C285" s="15" t="s">
        <v>197</v>
      </c>
      <c r="D285" s="15" t="s">
        <v>351</v>
      </c>
      <c r="E285" s="15" t="s">
        <v>442</v>
      </c>
      <c r="F285" s="15">
        <v>-7.9999999999999988E-2</v>
      </c>
      <c r="G285" s="15">
        <v>0.2</v>
      </c>
      <c r="H285" s="15">
        <v>9</v>
      </c>
      <c r="I285" s="15" t="s">
        <v>444</v>
      </c>
      <c r="J285" s="17">
        <f t="shared" si="4"/>
        <v>0</v>
      </c>
    </row>
    <row r="286" spans="1:10" x14ac:dyDescent="0.4">
      <c r="A286" s="16" t="s">
        <v>8</v>
      </c>
      <c r="B286" s="15" t="s">
        <v>119</v>
      </c>
      <c r="C286" s="15" t="s">
        <v>197</v>
      </c>
      <c r="D286" s="15" t="s">
        <v>352</v>
      </c>
      <c r="E286" s="15" t="s">
        <v>443</v>
      </c>
      <c r="F286" s="15">
        <v>-0.48</v>
      </c>
      <c r="G286" s="15">
        <v>0.4</v>
      </c>
      <c r="H286" s="15">
        <v>9</v>
      </c>
      <c r="I286" s="15" t="s">
        <v>443</v>
      </c>
      <c r="J286" s="17">
        <f t="shared" si="4"/>
        <v>1</v>
      </c>
    </row>
    <row r="287" spans="1:10" x14ac:dyDescent="0.4">
      <c r="A287" s="16" t="s">
        <v>8</v>
      </c>
      <c r="B287" s="15" t="s">
        <v>120</v>
      </c>
      <c r="C287" s="15" t="s">
        <v>211</v>
      </c>
      <c r="D287" s="15" t="s">
        <v>353</v>
      </c>
      <c r="E287" s="15" t="s">
        <v>443</v>
      </c>
      <c r="F287" s="15">
        <v>-0.35666666666666669</v>
      </c>
      <c r="G287" s="15">
        <v>8.8888888888888892E-2</v>
      </c>
      <c r="H287" s="15">
        <v>13</v>
      </c>
      <c r="I287" s="15" t="s">
        <v>443</v>
      </c>
      <c r="J287" s="17">
        <f t="shared" si="4"/>
        <v>1</v>
      </c>
    </row>
    <row r="288" spans="1:10" x14ac:dyDescent="0.4">
      <c r="A288" s="16" t="s">
        <v>8</v>
      </c>
      <c r="B288" s="15" t="s">
        <v>121</v>
      </c>
      <c r="C288" s="15" t="s">
        <v>211</v>
      </c>
      <c r="D288" s="15" t="s">
        <v>354</v>
      </c>
      <c r="E288" s="15" t="s">
        <v>443</v>
      </c>
      <c r="F288" s="15">
        <v>-0.12</v>
      </c>
      <c r="G288" s="15">
        <v>0.1</v>
      </c>
      <c r="H288" s="15">
        <v>13</v>
      </c>
      <c r="I288" s="15" t="s">
        <v>443</v>
      </c>
      <c r="J288" s="17">
        <f t="shared" si="4"/>
        <v>1</v>
      </c>
    </row>
    <row r="289" spans="1:10" x14ac:dyDescent="0.4">
      <c r="A289" s="16" t="s">
        <v>8</v>
      </c>
      <c r="B289" s="15" t="s">
        <v>122</v>
      </c>
      <c r="C289" s="15" t="s">
        <v>217</v>
      </c>
      <c r="D289" s="15" t="s">
        <v>355</v>
      </c>
      <c r="E289" s="15" t="s">
        <v>443</v>
      </c>
      <c r="F289" s="15">
        <v>-0.36</v>
      </c>
      <c r="G289" s="15">
        <v>0.3</v>
      </c>
      <c r="H289" s="15">
        <v>10</v>
      </c>
      <c r="I289" s="15" t="s">
        <v>443</v>
      </c>
      <c r="J289" s="17">
        <f t="shared" si="4"/>
        <v>1</v>
      </c>
    </row>
    <row r="290" spans="1:10" x14ac:dyDescent="0.4">
      <c r="A290" s="16" t="s">
        <v>8</v>
      </c>
      <c r="B290" s="15" t="s">
        <v>123</v>
      </c>
      <c r="C290" s="15" t="s">
        <v>197</v>
      </c>
      <c r="D290" s="15" t="s">
        <v>356</v>
      </c>
      <c r="E290" s="15" t="s">
        <v>442</v>
      </c>
      <c r="F290" s="15">
        <v>-4.7692307692307707E-2</v>
      </c>
      <c r="G290" s="15">
        <v>0.1230769230769231</v>
      </c>
      <c r="H290" s="15">
        <v>13</v>
      </c>
      <c r="I290" s="15" t="s">
        <v>444</v>
      </c>
      <c r="J290" s="17">
        <f t="shared" si="4"/>
        <v>0</v>
      </c>
    </row>
    <row r="291" spans="1:10" x14ac:dyDescent="0.4">
      <c r="A291" s="16" t="s">
        <v>8</v>
      </c>
      <c r="B291" s="15" t="s">
        <v>124</v>
      </c>
      <c r="C291" s="15" t="s">
        <v>211</v>
      </c>
      <c r="D291" s="15" t="s">
        <v>357</v>
      </c>
      <c r="E291" s="15" t="s">
        <v>443</v>
      </c>
      <c r="F291" s="15">
        <v>-0.24357142857142849</v>
      </c>
      <c r="G291" s="15">
        <v>5.7142857142857141E-2</v>
      </c>
      <c r="H291" s="15">
        <v>14</v>
      </c>
      <c r="I291" s="15" t="s">
        <v>443</v>
      </c>
      <c r="J291" s="17">
        <f t="shared" si="4"/>
        <v>1</v>
      </c>
    </row>
    <row r="292" spans="1:10" x14ac:dyDescent="0.4">
      <c r="A292" s="16" t="s">
        <v>8</v>
      </c>
      <c r="B292" s="15" t="s">
        <v>125</v>
      </c>
      <c r="C292" s="15" t="s">
        <v>211</v>
      </c>
      <c r="D292" s="15" t="s">
        <v>358</v>
      </c>
      <c r="E292" s="15" t="s">
        <v>444</v>
      </c>
      <c r="F292" s="15">
        <v>0.41272727272727272</v>
      </c>
      <c r="G292" s="15">
        <v>7.2727272727272724E-2</v>
      </c>
      <c r="H292" s="15">
        <v>13</v>
      </c>
      <c r="I292" s="15" t="s">
        <v>444</v>
      </c>
      <c r="J292" s="17">
        <f t="shared" si="4"/>
        <v>1</v>
      </c>
    </row>
    <row r="293" spans="1:10" x14ac:dyDescent="0.4">
      <c r="A293" s="16" t="s">
        <v>8</v>
      </c>
      <c r="B293" s="15" t="s">
        <v>126</v>
      </c>
      <c r="C293" s="15" t="s">
        <v>211</v>
      </c>
      <c r="D293" s="15" t="s">
        <v>359</v>
      </c>
      <c r="E293" s="15" t="s">
        <v>443</v>
      </c>
      <c r="F293" s="15">
        <v>-0.59599999999999997</v>
      </c>
      <c r="G293" s="15">
        <v>0.08</v>
      </c>
      <c r="H293" s="15">
        <v>13</v>
      </c>
      <c r="I293" s="15" t="s">
        <v>444</v>
      </c>
      <c r="J293" s="17">
        <f t="shared" si="4"/>
        <v>0</v>
      </c>
    </row>
    <row r="294" spans="1:10" x14ac:dyDescent="0.4">
      <c r="A294" s="16" t="s">
        <v>8</v>
      </c>
      <c r="B294" s="15" t="s">
        <v>127</v>
      </c>
      <c r="C294" s="15" t="s">
        <v>217</v>
      </c>
      <c r="D294" s="15" t="s">
        <v>360</v>
      </c>
      <c r="E294" s="15" t="s">
        <v>443</v>
      </c>
      <c r="F294" s="15">
        <v>-0.19636363636363641</v>
      </c>
      <c r="G294" s="15">
        <v>0.16363636363636361</v>
      </c>
      <c r="H294" s="15">
        <v>12</v>
      </c>
      <c r="I294" s="15" t="s">
        <v>443</v>
      </c>
      <c r="J294" s="17">
        <f t="shared" si="4"/>
        <v>1</v>
      </c>
    </row>
    <row r="295" spans="1:10" x14ac:dyDescent="0.4">
      <c r="A295" s="16" t="s">
        <v>8</v>
      </c>
      <c r="B295" s="15" t="s">
        <v>128</v>
      </c>
      <c r="C295" s="15" t="s">
        <v>222</v>
      </c>
      <c r="D295" s="15" t="s">
        <v>361</v>
      </c>
      <c r="E295" s="15" t="s">
        <v>444</v>
      </c>
      <c r="F295" s="15">
        <v>0.1661444805194805</v>
      </c>
      <c r="G295" s="15">
        <v>6.6666666666666666E-2</v>
      </c>
      <c r="H295" s="15">
        <v>14</v>
      </c>
      <c r="I295" s="15" t="s">
        <v>443</v>
      </c>
      <c r="J295" s="17">
        <f t="shared" si="4"/>
        <v>0</v>
      </c>
    </row>
    <row r="296" spans="1:10" x14ac:dyDescent="0.4">
      <c r="A296" s="16" t="s">
        <v>8</v>
      </c>
      <c r="B296" s="15" t="s">
        <v>129</v>
      </c>
      <c r="C296" s="15" t="s">
        <v>188</v>
      </c>
      <c r="D296" s="15" t="s">
        <v>362</v>
      </c>
      <c r="E296" s="15" t="s">
        <v>443</v>
      </c>
      <c r="F296" s="15">
        <v>-0.1793840579710145</v>
      </c>
      <c r="G296" s="15">
        <v>0.1043478260869565</v>
      </c>
      <c r="H296" s="15">
        <v>13</v>
      </c>
      <c r="I296" s="15" t="s">
        <v>443</v>
      </c>
      <c r="J296" s="17">
        <f t="shared" si="4"/>
        <v>1</v>
      </c>
    </row>
    <row r="297" spans="1:10" x14ac:dyDescent="0.4">
      <c r="A297" s="16" t="s">
        <v>8</v>
      </c>
      <c r="B297" s="15" t="s">
        <v>130</v>
      </c>
      <c r="C297" s="15" t="s">
        <v>220</v>
      </c>
      <c r="D297" s="15" t="s">
        <v>363</v>
      </c>
      <c r="E297" s="15" t="s">
        <v>443</v>
      </c>
      <c r="F297" s="15">
        <v>-0.54</v>
      </c>
      <c r="G297" s="15">
        <v>0.45</v>
      </c>
      <c r="H297" s="15">
        <v>8</v>
      </c>
      <c r="I297" s="15" t="s">
        <v>443</v>
      </c>
      <c r="J297" s="17">
        <f t="shared" si="4"/>
        <v>1</v>
      </c>
    </row>
    <row r="298" spans="1:10" x14ac:dyDescent="0.4">
      <c r="A298" s="16" t="s">
        <v>8</v>
      </c>
      <c r="B298" s="15" t="s">
        <v>131</v>
      </c>
      <c r="C298" s="15" t="s">
        <v>211</v>
      </c>
      <c r="D298" s="15" t="s">
        <v>364</v>
      </c>
      <c r="E298" s="15" t="s">
        <v>442</v>
      </c>
      <c r="F298" s="15">
        <v>-9.6000000000000002E-2</v>
      </c>
      <c r="G298" s="15">
        <v>0.08</v>
      </c>
      <c r="H298" s="15">
        <v>13</v>
      </c>
      <c r="I298" s="15" t="s">
        <v>443</v>
      </c>
      <c r="J298" s="17">
        <f t="shared" si="4"/>
        <v>0</v>
      </c>
    </row>
    <row r="299" spans="1:10" x14ac:dyDescent="0.4">
      <c r="A299" s="16" t="s">
        <v>8</v>
      </c>
      <c r="B299" s="15" t="s">
        <v>132</v>
      </c>
      <c r="C299" s="15" t="s">
        <v>217</v>
      </c>
      <c r="D299" s="15" t="s">
        <v>365</v>
      </c>
      <c r="E299" s="15" t="s">
        <v>443</v>
      </c>
      <c r="F299" s="15">
        <v>-0.19636363636363641</v>
      </c>
      <c r="G299" s="15">
        <v>0.16363636363636361</v>
      </c>
      <c r="H299" s="15">
        <v>12</v>
      </c>
      <c r="I299" s="15" t="s">
        <v>443</v>
      </c>
      <c r="J299" s="17">
        <f t="shared" si="4"/>
        <v>1</v>
      </c>
    </row>
    <row r="300" spans="1:10" x14ac:dyDescent="0.4">
      <c r="A300" s="16" t="s">
        <v>8</v>
      </c>
      <c r="B300" s="15" t="s">
        <v>133</v>
      </c>
      <c r="C300" s="15" t="s">
        <v>197</v>
      </c>
      <c r="D300" s="15" t="s">
        <v>366</v>
      </c>
      <c r="E300" s="15" t="s">
        <v>442</v>
      </c>
      <c r="F300" s="15">
        <v>7.4666666666666659E-2</v>
      </c>
      <c r="G300" s="15">
        <v>0.16</v>
      </c>
      <c r="H300" s="15">
        <v>12</v>
      </c>
      <c r="I300" s="15" t="s">
        <v>444</v>
      </c>
      <c r="J300" s="17">
        <f t="shared" si="4"/>
        <v>0</v>
      </c>
    </row>
    <row r="301" spans="1:10" x14ac:dyDescent="0.4">
      <c r="A301" s="16" t="s">
        <v>639</v>
      </c>
      <c r="B301" s="15" t="s">
        <v>640</v>
      </c>
      <c r="C301" s="15" t="s">
        <v>239</v>
      </c>
      <c r="D301" s="15" t="s">
        <v>641</v>
      </c>
      <c r="E301" s="15" t="s">
        <v>443</v>
      </c>
      <c r="F301" s="15">
        <v>-0.44666666666666671</v>
      </c>
      <c r="G301" s="15">
        <v>0.15</v>
      </c>
      <c r="H301" s="15">
        <v>12</v>
      </c>
      <c r="I301" s="15" t="s">
        <v>443</v>
      </c>
      <c r="J301" s="17">
        <f t="shared" si="4"/>
        <v>1</v>
      </c>
    </row>
    <row r="302" spans="1:10" x14ac:dyDescent="0.4">
      <c r="A302" s="16" t="s">
        <v>639</v>
      </c>
      <c r="B302" s="15" t="s">
        <v>642</v>
      </c>
      <c r="C302" s="15" t="s">
        <v>197</v>
      </c>
      <c r="D302" s="15" t="s">
        <v>643</v>
      </c>
      <c r="E302" s="15" t="s">
        <v>443</v>
      </c>
      <c r="F302" s="15">
        <v>-0.27428571428571419</v>
      </c>
      <c r="G302" s="15">
        <v>0.22857142857142859</v>
      </c>
      <c r="H302" s="15">
        <v>11</v>
      </c>
      <c r="I302" s="15" t="s">
        <v>443</v>
      </c>
      <c r="J302" s="17">
        <f t="shared" si="4"/>
        <v>1</v>
      </c>
    </row>
    <row r="303" spans="1:10" x14ac:dyDescent="0.4">
      <c r="A303" s="16" t="s">
        <v>639</v>
      </c>
      <c r="B303" s="15" t="s">
        <v>645</v>
      </c>
      <c r="C303" s="15" t="s">
        <v>197</v>
      </c>
      <c r="D303" s="15" t="s">
        <v>646</v>
      </c>
      <c r="E303" s="15" t="s">
        <v>443</v>
      </c>
      <c r="F303" s="15">
        <v>-0.16</v>
      </c>
      <c r="G303" s="15">
        <v>0.1333333333333333</v>
      </c>
      <c r="H303" s="15">
        <v>13</v>
      </c>
      <c r="I303" s="15" t="s">
        <v>443</v>
      </c>
      <c r="J303" s="17">
        <f t="shared" si="4"/>
        <v>1</v>
      </c>
    </row>
    <row r="304" spans="1:10" x14ac:dyDescent="0.4">
      <c r="A304" s="16" t="s">
        <v>639</v>
      </c>
      <c r="B304" s="15" t="s">
        <v>648</v>
      </c>
      <c r="C304" s="15" t="s">
        <v>197</v>
      </c>
      <c r="D304" s="15" t="s">
        <v>649</v>
      </c>
      <c r="E304" s="15" t="s">
        <v>442</v>
      </c>
      <c r="F304" s="15">
        <v>-2.363636363636365E-2</v>
      </c>
      <c r="G304" s="15">
        <v>0.1333333333333333</v>
      </c>
      <c r="H304" s="15">
        <v>13</v>
      </c>
      <c r="I304" s="15" t="s">
        <v>442</v>
      </c>
      <c r="J304" s="17">
        <f t="shared" si="4"/>
        <v>1</v>
      </c>
    </row>
    <row r="305" spans="1:10" x14ac:dyDescent="0.4">
      <c r="A305" s="16" t="s">
        <v>639</v>
      </c>
      <c r="B305" s="15" t="s">
        <v>650</v>
      </c>
      <c r="C305" s="15" t="s">
        <v>197</v>
      </c>
      <c r="D305" s="15" t="s">
        <v>651</v>
      </c>
      <c r="E305" s="15" t="s">
        <v>443</v>
      </c>
      <c r="F305" s="15">
        <v>-0.29625000000000001</v>
      </c>
      <c r="G305" s="15">
        <v>0.2</v>
      </c>
      <c r="H305" s="15">
        <v>12</v>
      </c>
      <c r="I305" s="15" t="s">
        <v>443</v>
      </c>
      <c r="J305" s="17">
        <f t="shared" si="4"/>
        <v>1</v>
      </c>
    </row>
    <row r="306" spans="1:10" x14ac:dyDescent="0.4">
      <c r="A306" s="16" t="s">
        <v>639</v>
      </c>
      <c r="B306" s="15" t="s">
        <v>652</v>
      </c>
      <c r="C306" s="15" t="s">
        <v>197</v>
      </c>
      <c r="D306" s="15" t="s">
        <v>653</v>
      </c>
      <c r="E306" s="15" t="s">
        <v>444</v>
      </c>
      <c r="F306" s="15">
        <v>0.122</v>
      </c>
      <c r="G306" s="15">
        <v>0.1066666666666667</v>
      </c>
      <c r="H306" s="15">
        <v>13</v>
      </c>
      <c r="I306" s="15" t="s">
        <v>444</v>
      </c>
      <c r="J306" s="17">
        <f t="shared" si="4"/>
        <v>1</v>
      </c>
    </row>
    <row r="307" spans="1:10" x14ac:dyDescent="0.4">
      <c r="A307" s="16" t="s">
        <v>639</v>
      </c>
      <c r="B307" s="15" t="s">
        <v>654</v>
      </c>
      <c r="C307" s="15" t="s">
        <v>197</v>
      </c>
      <c r="D307" s="15" t="s">
        <v>655</v>
      </c>
      <c r="E307" s="15" t="s">
        <v>442</v>
      </c>
      <c r="F307" s="15">
        <v>5.9999999999999977E-2</v>
      </c>
      <c r="G307" s="15">
        <v>6.6666666666666666E-2</v>
      </c>
      <c r="H307" s="15">
        <v>14</v>
      </c>
      <c r="I307" s="15" t="s">
        <v>442</v>
      </c>
      <c r="J307" s="17">
        <f t="shared" si="4"/>
        <v>1</v>
      </c>
    </row>
    <row r="308" spans="1:10" x14ac:dyDescent="0.4">
      <c r="A308" s="16" t="s">
        <v>639</v>
      </c>
      <c r="B308" s="15" t="s">
        <v>658</v>
      </c>
      <c r="C308" s="15" t="s">
        <v>197</v>
      </c>
      <c r="D308" s="15" t="s">
        <v>659</v>
      </c>
      <c r="E308" s="15" t="s">
        <v>443</v>
      </c>
      <c r="F308" s="15">
        <v>-0.38400000000000001</v>
      </c>
      <c r="G308" s="15">
        <v>0.32</v>
      </c>
      <c r="H308" s="15">
        <v>10</v>
      </c>
      <c r="I308" s="15" t="s">
        <v>660</v>
      </c>
      <c r="J308" s="17">
        <f t="shared" si="4"/>
        <v>1</v>
      </c>
    </row>
    <row r="309" spans="1:10" x14ac:dyDescent="0.4">
      <c r="A309" s="16" t="s">
        <v>639</v>
      </c>
      <c r="B309" s="15" t="s">
        <v>661</v>
      </c>
      <c r="C309" s="15" t="s">
        <v>197</v>
      </c>
      <c r="D309" s="15" t="s">
        <v>662</v>
      </c>
      <c r="E309" s="15" t="s">
        <v>443</v>
      </c>
      <c r="F309" s="15">
        <v>-0.32</v>
      </c>
      <c r="G309" s="15">
        <v>0.26666666666666672</v>
      </c>
      <c r="H309" s="15">
        <v>11</v>
      </c>
      <c r="I309" s="15" t="s">
        <v>443</v>
      </c>
      <c r="J309" s="17">
        <f t="shared" si="4"/>
        <v>1</v>
      </c>
    </row>
    <row r="310" spans="1:10" x14ac:dyDescent="0.4">
      <c r="A310" s="16" t="s">
        <v>639</v>
      </c>
      <c r="B310" s="15" t="s">
        <v>664</v>
      </c>
      <c r="C310" s="15" t="s">
        <v>211</v>
      </c>
      <c r="D310" s="15" t="s">
        <v>665</v>
      </c>
      <c r="E310" s="15" t="s">
        <v>443</v>
      </c>
      <c r="F310" s="15">
        <v>-0.12</v>
      </c>
      <c r="G310" s="15">
        <v>4.4444444444444453E-2</v>
      </c>
      <c r="H310" s="15">
        <v>14</v>
      </c>
      <c r="I310" s="15" t="s">
        <v>443</v>
      </c>
      <c r="J310" s="17">
        <f t="shared" si="4"/>
        <v>1</v>
      </c>
    </row>
    <row r="311" spans="1:10" x14ac:dyDescent="0.4">
      <c r="A311" s="16" t="s">
        <v>639</v>
      </c>
      <c r="B311" s="15" t="s">
        <v>666</v>
      </c>
      <c r="C311" s="15" t="s">
        <v>211</v>
      </c>
      <c r="D311" s="15" t="s">
        <v>667</v>
      </c>
      <c r="E311" s="15" t="s">
        <v>443</v>
      </c>
      <c r="F311" s="15">
        <v>-0.12</v>
      </c>
      <c r="G311" s="15">
        <v>0.1</v>
      </c>
      <c r="H311" s="15">
        <v>13</v>
      </c>
      <c r="I311" s="15" t="s">
        <v>443</v>
      </c>
      <c r="J311" s="17">
        <f t="shared" si="4"/>
        <v>1</v>
      </c>
    </row>
    <row r="312" spans="1:10" x14ac:dyDescent="0.4">
      <c r="A312" s="16" t="s">
        <v>639</v>
      </c>
      <c r="B312" s="15" t="s">
        <v>668</v>
      </c>
      <c r="C312" s="15" t="s">
        <v>211</v>
      </c>
      <c r="D312" s="15" t="s">
        <v>669</v>
      </c>
      <c r="E312" s="15" t="s">
        <v>443</v>
      </c>
      <c r="F312" s="15">
        <v>-0.13714285714285709</v>
      </c>
      <c r="G312" s="15">
        <v>0.1142857142857143</v>
      </c>
      <c r="H312" s="15">
        <v>13</v>
      </c>
      <c r="I312" s="15" t="s">
        <v>443</v>
      </c>
      <c r="J312" s="17">
        <f t="shared" si="4"/>
        <v>1</v>
      </c>
    </row>
    <row r="313" spans="1:10" x14ac:dyDescent="0.4">
      <c r="A313" s="16" t="s">
        <v>639</v>
      </c>
      <c r="B313" s="15" t="s">
        <v>670</v>
      </c>
      <c r="C313" s="15" t="s">
        <v>671</v>
      </c>
      <c r="D313" s="15" t="s">
        <v>672</v>
      </c>
      <c r="E313" s="15" t="s">
        <v>443</v>
      </c>
      <c r="F313" s="15">
        <v>-0.36</v>
      </c>
      <c r="G313" s="15">
        <v>0.3</v>
      </c>
      <c r="H313" s="15">
        <v>10</v>
      </c>
      <c r="I313" s="15" t="s">
        <v>443</v>
      </c>
      <c r="J313" s="17">
        <f t="shared" si="4"/>
        <v>1</v>
      </c>
    </row>
    <row r="314" spans="1:10" x14ac:dyDescent="0.4">
      <c r="A314" s="16" t="s">
        <v>639</v>
      </c>
      <c r="B314" s="15" t="s">
        <v>674</v>
      </c>
      <c r="C314" s="15" t="s">
        <v>671</v>
      </c>
      <c r="D314" s="15" t="s">
        <v>675</v>
      </c>
      <c r="E314" s="15" t="s">
        <v>443</v>
      </c>
      <c r="F314" s="15">
        <v>-0.24</v>
      </c>
      <c r="G314" s="15">
        <v>0.2</v>
      </c>
      <c r="H314" s="15">
        <v>12</v>
      </c>
      <c r="I314" s="15" t="s">
        <v>443</v>
      </c>
      <c r="J314" s="17">
        <f t="shared" si="4"/>
        <v>1</v>
      </c>
    </row>
    <row r="315" spans="1:10" x14ac:dyDescent="0.4">
      <c r="A315" s="16" t="s">
        <v>639</v>
      </c>
      <c r="B315" s="15" t="s">
        <v>677</v>
      </c>
      <c r="C315" s="15" t="s">
        <v>197</v>
      </c>
      <c r="D315" s="15" t="s">
        <v>678</v>
      </c>
      <c r="E315" s="15" t="s">
        <v>443</v>
      </c>
      <c r="F315" s="15">
        <v>-0.18</v>
      </c>
      <c r="G315" s="15">
        <v>0.15</v>
      </c>
      <c r="H315" s="15">
        <v>12</v>
      </c>
      <c r="I315" s="15" t="s">
        <v>443</v>
      </c>
      <c r="J315" s="17">
        <f t="shared" si="4"/>
        <v>1</v>
      </c>
    </row>
    <row r="316" spans="1:10" x14ac:dyDescent="0.4">
      <c r="A316" s="16" t="s">
        <v>639</v>
      </c>
      <c r="B316" s="15" t="s">
        <v>679</v>
      </c>
      <c r="C316" s="15" t="s">
        <v>223</v>
      </c>
      <c r="D316" s="15" t="s">
        <v>680</v>
      </c>
      <c r="E316" s="15" t="s">
        <v>443</v>
      </c>
      <c r="F316" s="15">
        <v>-0.25</v>
      </c>
      <c r="G316" s="15">
        <v>0.20833333333333329</v>
      </c>
      <c r="H316" s="15">
        <v>11</v>
      </c>
      <c r="I316" s="15" t="s">
        <v>443</v>
      </c>
      <c r="J316" s="17">
        <f t="shared" si="4"/>
        <v>1</v>
      </c>
    </row>
    <row r="317" spans="1:10" x14ac:dyDescent="0.4">
      <c r="A317" s="16" t="s">
        <v>639</v>
      </c>
      <c r="B317" s="15" t="s">
        <v>681</v>
      </c>
      <c r="C317" s="15" t="s">
        <v>197</v>
      </c>
      <c r="D317" s="15" t="s">
        <v>682</v>
      </c>
      <c r="E317" s="15" t="s">
        <v>444</v>
      </c>
      <c r="F317" s="15">
        <v>0.1034285714285714</v>
      </c>
      <c r="G317" s="15">
        <v>6.8571428571428575E-2</v>
      </c>
      <c r="H317" s="15">
        <v>13</v>
      </c>
      <c r="I317" s="15" t="s">
        <v>444</v>
      </c>
      <c r="J317" s="17">
        <f t="shared" si="4"/>
        <v>1</v>
      </c>
    </row>
    <row r="318" spans="1:10" x14ac:dyDescent="0.4">
      <c r="A318" s="16" t="s">
        <v>639</v>
      </c>
      <c r="B318" s="15" t="s">
        <v>683</v>
      </c>
      <c r="C318" s="15" t="s">
        <v>197</v>
      </c>
      <c r="D318" s="15" t="s">
        <v>684</v>
      </c>
      <c r="E318" s="15" t="s">
        <v>443</v>
      </c>
      <c r="F318" s="15" t="s">
        <v>443</v>
      </c>
      <c r="G318" s="15" t="s">
        <v>443</v>
      </c>
      <c r="H318" s="15" t="s">
        <v>443</v>
      </c>
      <c r="I318" s="15" t="s">
        <v>443</v>
      </c>
      <c r="J318" s="17">
        <f t="shared" si="4"/>
        <v>1</v>
      </c>
    </row>
    <row r="319" spans="1:10" x14ac:dyDescent="0.4">
      <c r="A319" s="16" t="s">
        <v>639</v>
      </c>
      <c r="B319" s="15" t="s">
        <v>685</v>
      </c>
      <c r="C319" s="15" t="s">
        <v>197</v>
      </c>
      <c r="D319" s="15" t="s">
        <v>686</v>
      </c>
      <c r="E319" s="15" t="s">
        <v>442</v>
      </c>
      <c r="F319" s="15" t="s">
        <v>442</v>
      </c>
      <c r="G319" s="15" t="s">
        <v>442</v>
      </c>
      <c r="H319" s="15" t="s">
        <v>442</v>
      </c>
      <c r="I319" s="15" t="s">
        <v>442</v>
      </c>
      <c r="J319" s="17">
        <f t="shared" si="4"/>
        <v>1</v>
      </c>
    </row>
    <row r="320" spans="1:10" x14ac:dyDescent="0.4">
      <c r="A320" s="16" t="s">
        <v>639</v>
      </c>
      <c r="B320" s="15" t="s">
        <v>687</v>
      </c>
      <c r="C320" s="15" t="s">
        <v>197</v>
      </c>
      <c r="D320" s="15" t="s">
        <v>688</v>
      </c>
      <c r="E320" s="15" t="s">
        <v>443</v>
      </c>
      <c r="F320" s="15" t="s">
        <v>443</v>
      </c>
      <c r="G320" s="15" t="s">
        <v>443</v>
      </c>
      <c r="H320" s="15" t="s">
        <v>443</v>
      </c>
      <c r="I320" s="15" t="s">
        <v>443</v>
      </c>
      <c r="J320" s="17">
        <f t="shared" si="4"/>
        <v>1</v>
      </c>
    </row>
    <row r="321" spans="1:10" x14ac:dyDescent="0.4">
      <c r="A321" s="16" t="s">
        <v>639</v>
      </c>
      <c r="B321" s="15" t="s">
        <v>689</v>
      </c>
      <c r="C321" s="15" t="s">
        <v>197</v>
      </c>
      <c r="D321" s="15" t="s">
        <v>690</v>
      </c>
      <c r="E321" s="15" t="s">
        <v>443</v>
      </c>
      <c r="F321" s="15" t="s">
        <v>443</v>
      </c>
      <c r="G321" s="15" t="s">
        <v>443</v>
      </c>
      <c r="H321" s="15" t="s">
        <v>443</v>
      </c>
      <c r="I321" s="15" t="s">
        <v>443</v>
      </c>
      <c r="J321" s="17">
        <f t="shared" si="4"/>
        <v>1</v>
      </c>
    </row>
    <row r="322" spans="1:10" x14ac:dyDescent="0.4">
      <c r="A322" s="16" t="s">
        <v>639</v>
      </c>
      <c r="B322" s="15" t="s">
        <v>691</v>
      </c>
      <c r="C322" s="15" t="s">
        <v>197</v>
      </c>
      <c r="D322" s="15" t="s">
        <v>692</v>
      </c>
      <c r="E322" s="15" t="s">
        <v>443</v>
      </c>
      <c r="F322" s="15" t="s">
        <v>443</v>
      </c>
      <c r="G322" s="15" t="s">
        <v>443</v>
      </c>
      <c r="H322" s="15" t="s">
        <v>443</v>
      </c>
      <c r="I322" s="15" t="s">
        <v>443</v>
      </c>
      <c r="J322" s="17">
        <f t="shared" si="4"/>
        <v>1</v>
      </c>
    </row>
    <row r="323" spans="1:10" x14ac:dyDescent="0.4">
      <c r="A323" s="16" t="s">
        <v>639</v>
      </c>
      <c r="B323" s="15" t="s">
        <v>693</v>
      </c>
      <c r="C323" s="15" t="s">
        <v>197</v>
      </c>
      <c r="D323" s="15" t="s">
        <v>694</v>
      </c>
      <c r="E323" s="15" t="s">
        <v>443</v>
      </c>
      <c r="F323" s="15" t="s">
        <v>443</v>
      </c>
      <c r="G323" s="15" t="s">
        <v>443</v>
      </c>
      <c r="H323" s="15" t="s">
        <v>443</v>
      </c>
      <c r="I323" s="15" t="s">
        <v>443</v>
      </c>
      <c r="J323" s="17">
        <f t="shared" si="4"/>
        <v>1</v>
      </c>
    </row>
    <row r="324" spans="1:10" x14ac:dyDescent="0.4">
      <c r="A324" s="16" t="s">
        <v>639</v>
      </c>
      <c r="B324" s="15" t="s">
        <v>695</v>
      </c>
      <c r="C324" s="15" t="s">
        <v>197</v>
      </c>
      <c r="D324" s="15" t="s">
        <v>696</v>
      </c>
      <c r="E324" s="15" t="s">
        <v>443</v>
      </c>
      <c r="F324" s="15" t="s">
        <v>443</v>
      </c>
      <c r="G324" s="15" t="s">
        <v>443</v>
      </c>
      <c r="H324" s="15" t="s">
        <v>443</v>
      </c>
      <c r="I324" s="15" t="s">
        <v>443</v>
      </c>
      <c r="J324" s="17">
        <f t="shared" si="4"/>
        <v>1</v>
      </c>
    </row>
    <row r="325" spans="1:10" x14ac:dyDescent="0.4">
      <c r="A325" s="16" t="s">
        <v>639</v>
      </c>
      <c r="B325" s="15" t="s">
        <v>697</v>
      </c>
      <c r="C325" s="15" t="s">
        <v>647</v>
      </c>
      <c r="D325" s="15" t="s">
        <v>698</v>
      </c>
      <c r="E325" s="15" t="s">
        <v>443</v>
      </c>
      <c r="F325" s="15" t="s">
        <v>443</v>
      </c>
      <c r="G325" s="15" t="s">
        <v>443</v>
      </c>
      <c r="H325" s="15" t="s">
        <v>443</v>
      </c>
      <c r="I325" s="15" t="s">
        <v>443</v>
      </c>
      <c r="J325" s="17">
        <f t="shared" si="4"/>
        <v>1</v>
      </c>
    </row>
    <row r="326" spans="1:10" x14ac:dyDescent="0.4">
      <c r="A326" s="16" t="s">
        <v>639</v>
      </c>
      <c r="B326" s="15" t="s">
        <v>699</v>
      </c>
      <c r="C326" s="15" t="s">
        <v>647</v>
      </c>
      <c r="D326" s="15" t="s">
        <v>700</v>
      </c>
      <c r="E326" s="15" t="s">
        <v>443</v>
      </c>
      <c r="F326" s="15" t="s">
        <v>443</v>
      </c>
      <c r="G326" s="15" t="s">
        <v>443</v>
      </c>
      <c r="H326" s="15" t="s">
        <v>443</v>
      </c>
      <c r="I326" s="15" t="s">
        <v>443</v>
      </c>
      <c r="J326" s="17">
        <f t="shared" si="4"/>
        <v>1</v>
      </c>
    </row>
    <row r="327" spans="1:10" x14ac:dyDescent="0.4">
      <c r="A327" s="16" t="s">
        <v>639</v>
      </c>
      <c r="B327" s="15" t="s">
        <v>701</v>
      </c>
      <c r="C327" s="15" t="s">
        <v>647</v>
      </c>
      <c r="D327" s="15" t="s">
        <v>702</v>
      </c>
      <c r="E327" s="15" t="s">
        <v>443</v>
      </c>
      <c r="F327" s="15" t="s">
        <v>443</v>
      </c>
      <c r="G327" s="15" t="s">
        <v>443</v>
      </c>
      <c r="H327" s="15" t="s">
        <v>443</v>
      </c>
      <c r="I327" s="15" t="s">
        <v>443</v>
      </c>
      <c r="J327" s="17">
        <f t="shared" ref="J327:J390" si="5">IF(I327=E327,1,0)</f>
        <v>1</v>
      </c>
    </row>
    <row r="328" spans="1:10" x14ac:dyDescent="0.4">
      <c r="A328" s="16" t="s">
        <v>639</v>
      </c>
      <c r="B328" s="15" t="s">
        <v>703</v>
      </c>
      <c r="C328" s="15" t="s">
        <v>657</v>
      </c>
      <c r="D328" s="15" t="s">
        <v>704</v>
      </c>
      <c r="E328" s="15" t="s">
        <v>443</v>
      </c>
      <c r="F328" s="15" t="s">
        <v>443</v>
      </c>
      <c r="G328" s="15" t="s">
        <v>443</v>
      </c>
      <c r="H328" s="15" t="s">
        <v>443</v>
      </c>
      <c r="I328" s="15" t="s">
        <v>443</v>
      </c>
      <c r="J328" s="17">
        <f t="shared" si="5"/>
        <v>1</v>
      </c>
    </row>
    <row r="329" spans="1:10" x14ac:dyDescent="0.4">
      <c r="A329" s="16" t="s">
        <v>639</v>
      </c>
      <c r="B329" s="15" t="s">
        <v>705</v>
      </c>
      <c r="C329" s="15" t="s">
        <v>657</v>
      </c>
      <c r="D329" s="15" t="s">
        <v>706</v>
      </c>
      <c r="E329" s="15" t="s">
        <v>443</v>
      </c>
      <c r="F329" s="15" t="s">
        <v>443</v>
      </c>
      <c r="G329" s="15" t="s">
        <v>443</v>
      </c>
      <c r="H329" s="15" t="s">
        <v>443</v>
      </c>
      <c r="I329" s="15" t="s">
        <v>443</v>
      </c>
      <c r="J329" s="17">
        <f t="shared" si="5"/>
        <v>1</v>
      </c>
    </row>
    <row r="330" spans="1:10" x14ac:dyDescent="0.4">
      <c r="A330" s="16" t="s">
        <v>639</v>
      </c>
      <c r="B330" s="15" t="s">
        <v>708</v>
      </c>
      <c r="C330" s="15" t="s">
        <v>188</v>
      </c>
      <c r="D330" s="15" t="s">
        <v>709</v>
      </c>
      <c r="E330" s="15" t="s">
        <v>443</v>
      </c>
      <c r="F330" s="15" t="s">
        <v>443</v>
      </c>
      <c r="G330" s="15" t="s">
        <v>443</v>
      </c>
      <c r="H330" s="15" t="s">
        <v>443</v>
      </c>
      <c r="I330" s="15" t="s">
        <v>443</v>
      </c>
      <c r="J330" s="17">
        <f t="shared" si="5"/>
        <v>1</v>
      </c>
    </row>
    <row r="331" spans="1:10" x14ac:dyDescent="0.4">
      <c r="A331" s="16" t="s">
        <v>639</v>
      </c>
      <c r="B331" s="15" t="s">
        <v>711</v>
      </c>
      <c r="C331" s="15" t="s">
        <v>197</v>
      </c>
      <c r="D331" s="15" t="s">
        <v>712</v>
      </c>
      <c r="E331" s="15" t="s">
        <v>443</v>
      </c>
      <c r="F331" s="15" t="s">
        <v>443</v>
      </c>
      <c r="G331" s="15" t="s">
        <v>443</v>
      </c>
      <c r="H331" s="15" t="s">
        <v>443</v>
      </c>
      <c r="I331" s="15" t="s">
        <v>443</v>
      </c>
      <c r="J331" s="17">
        <f t="shared" si="5"/>
        <v>1</v>
      </c>
    </row>
    <row r="332" spans="1:10" x14ac:dyDescent="0.4">
      <c r="A332" s="16" t="s">
        <v>639</v>
      </c>
      <c r="B332" s="15" t="s">
        <v>713</v>
      </c>
      <c r="C332" s="15" t="s">
        <v>647</v>
      </c>
      <c r="D332" s="15" t="s">
        <v>714</v>
      </c>
      <c r="E332" s="15" t="s">
        <v>443</v>
      </c>
      <c r="F332" s="15" t="s">
        <v>443</v>
      </c>
      <c r="G332" s="15" t="s">
        <v>443</v>
      </c>
      <c r="H332" s="15" t="s">
        <v>443</v>
      </c>
      <c r="I332" s="15" t="s">
        <v>443</v>
      </c>
      <c r="J332" s="17">
        <f t="shared" si="5"/>
        <v>1</v>
      </c>
    </row>
    <row r="333" spans="1:10" x14ac:dyDescent="0.4">
      <c r="A333" s="16" t="s">
        <v>639</v>
      </c>
      <c r="B333" s="15" t="s">
        <v>715</v>
      </c>
      <c r="C333" s="15" t="s">
        <v>707</v>
      </c>
      <c r="D333" s="15" t="s">
        <v>716</v>
      </c>
      <c r="E333" s="15" t="s">
        <v>443</v>
      </c>
      <c r="F333" s="15" t="s">
        <v>443</v>
      </c>
      <c r="G333" s="15" t="s">
        <v>443</v>
      </c>
      <c r="H333" s="15" t="s">
        <v>443</v>
      </c>
      <c r="I333" s="15" t="s">
        <v>443</v>
      </c>
      <c r="J333" s="17">
        <f t="shared" si="5"/>
        <v>1</v>
      </c>
    </row>
    <row r="334" spans="1:10" x14ac:dyDescent="0.4">
      <c r="A334" s="16" t="s">
        <v>639</v>
      </c>
      <c r="B334" s="15" t="s">
        <v>717</v>
      </c>
      <c r="C334" s="15" t="s">
        <v>188</v>
      </c>
      <c r="D334" s="15" t="s">
        <v>718</v>
      </c>
      <c r="E334" s="15" t="s">
        <v>443</v>
      </c>
      <c r="F334" s="15" t="s">
        <v>443</v>
      </c>
      <c r="G334" s="15" t="s">
        <v>443</v>
      </c>
      <c r="H334" s="15" t="s">
        <v>443</v>
      </c>
      <c r="I334" s="15" t="s">
        <v>443</v>
      </c>
      <c r="J334" s="17">
        <f t="shared" si="5"/>
        <v>1</v>
      </c>
    </row>
    <row r="335" spans="1:10" x14ac:dyDescent="0.4">
      <c r="A335" s="16" t="s">
        <v>639</v>
      </c>
      <c r="B335" s="15" t="s">
        <v>720</v>
      </c>
      <c r="C335" s="15" t="s">
        <v>647</v>
      </c>
      <c r="D335" s="15" t="s">
        <v>721</v>
      </c>
      <c r="E335" s="15" t="s">
        <v>444</v>
      </c>
      <c r="F335" s="15">
        <v>0.3</v>
      </c>
      <c r="G335" s="15">
        <v>0.33333333333333331</v>
      </c>
      <c r="H335" s="15">
        <v>10</v>
      </c>
      <c r="I335" s="15" t="s">
        <v>444</v>
      </c>
      <c r="J335" s="17">
        <f t="shared" si="5"/>
        <v>1</v>
      </c>
    </row>
    <row r="336" spans="1:10" x14ac:dyDescent="0.4">
      <c r="A336" s="16" t="s">
        <v>639</v>
      </c>
      <c r="B336" s="15" t="s">
        <v>722</v>
      </c>
      <c r="C336" s="15" t="s">
        <v>197</v>
      </c>
      <c r="D336" s="15" t="s">
        <v>723</v>
      </c>
      <c r="E336" s="15" t="s">
        <v>443</v>
      </c>
      <c r="F336" s="15" t="s">
        <v>443</v>
      </c>
      <c r="G336" s="15" t="s">
        <v>443</v>
      </c>
      <c r="H336" s="15" t="s">
        <v>443</v>
      </c>
      <c r="I336" s="15" t="s">
        <v>443</v>
      </c>
      <c r="J336" s="17">
        <f t="shared" si="5"/>
        <v>1</v>
      </c>
    </row>
    <row r="337" spans="1:10" x14ac:dyDescent="0.4">
      <c r="A337" s="16" t="s">
        <v>639</v>
      </c>
      <c r="B337" s="15" t="s">
        <v>724</v>
      </c>
      <c r="C337" s="15" t="s">
        <v>217</v>
      </c>
      <c r="D337" s="15" t="s">
        <v>725</v>
      </c>
      <c r="E337" s="15" t="s">
        <v>443</v>
      </c>
      <c r="F337" s="15" t="s">
        <v>443</v>
      </c>
      <c r="G337" s="15" t="s">
        <v>443</v>
      </c>
      <c r="H337" s="15" t="s">
        <v>443</v>
      </c>
      <c r="I337" s="15" t="s">
        <v>443</v>
      </c>
      <c r="J337" s="17">
        <f t="shared" si="5"/>
        <v>1</v>
      </c>
    </row>
    <row r="338" spans="1:10" x14ac:dyDescent="0.4">
      <c r="A338" s="16" t="s">
        <v>639</v>
      </c>
      <c r="B338" s="15" t="s">
        <v>726</v>
      </c>
      <c r="C338" s="15" t="s">
        <v>197</v>
      </c>
      <c r="D338" s="15" t="s">
        <v>727</v>
      </c>
      <c r="E338" s="15" t="s">
        <v>443</v>
      </c>
      <c r="F338" s="15" t="s">
        <v>443</v>
      </c>
      <c r="G338" s="15" t="s">
        <v>443</v>
      </c>
      <c r="H338" s="15" t="s">
        <v>443</v>
      </c>
      <c r="I338" s="15" t="s">
        <v>443</v>
      </c>
      <c r="J338" s="17">
        <f t="shared" si="5"/>
        <v>1</v>
      </c>
    </row>
    <row r="339" spans="1:10" x14ac:dyDescent="0.4">
      <c r="A339" s="16" t="s">
        <v>639</v>
      </c>
      <c r="B339" s="15" t="s">
        <v>728</v>
      </c>
      <c r="C339" s="15" t="s">
        <v>211</v>
      </c>
      <c r="D339" s="15" t="s">
        <v>729</v>
      </c>
      <c r="E339" s="15" t="s">
        <v>443</v>
      </c>
      <c r="F339" s="15" t="s">
        <v>443</v>
      </c>
      <c r="G339" s="15" t="s">
        <v>443</v>
      </c>
      <c r="H339" s="15" t="s">
        <v>443</v>
      </c>
      <c r="I339" s="15" t="s">
        <v>443</v>
      </c>
      <c r="J339" s="17">
        <f t="shared" si="5"/>
        <v>1</v>
      </c>
    </row>
    <row r="340" spans="1:10" x14ac:dyDescent="0.4">
      <c r="A340" s="16" t="s">
        <v>639</v>
      </c>
      <c r="B340" s="15" t="s">
        <v>730</v>
      </c>
      <c r="C340" s="15" t="s">
        <v>197</v>
      </c>
      <c r="D340" s="15" t="s">
        <v>731</v>
      </c>
      <c r="E340" s="15" t="s">
        <v>442</v>
      </c>
      <c r="F340" s="15" t="s">
        <v>442</v>
      </c>
      <c r="G340" s="15" t="s">
        <v>442</v>
      </c>
      <c r="H340" s="15" t="s">
        <v>442</v>
      </c>
      <c r="I340" s="15" t="s">
        <v>442</v>
      </c>
      <c r="J340" s="17">
        <f t="shared" si="5"/>
        <v>1</v>
      </c>
    </row>
    <row r="341" spans="1:10" x14ac:dyDescent="0.4">
      <c r="A341" s="16" t="s">
        <v>639</v>
      </c>
      <c r="B341" s="15" t="s">
        <v>732</v>
      </c>
      <c r="C341" s="15" t="s">
        <v>212</v>
      </c>
      <c r="D341" s="15" t="s">
        <v>733</v>
      </c>
      <c r="E341" s="15" t="s">
        <v>443</v>
      </c>
      <c r="F341" s="15" t="s">
        <v>443</v>
      </c>
      <c r="G341" s="15" t="s">
        <v>443</v>
      </c>
      <c r="H341" s="15" t="s">
        <v>443</v>
      </c>
      <c r="I341" s="15" t="s">
        <v>443</v>
      </c>
      <c r="J341" s="17">
        <f t="shared" si="5"/>
        <v>1</v>
      </c>
    </row>
    <row r="342" spans="1:10" x14ac:dyDescent="0.4">
      <c r="A342" s="16" t="s">
        <v>639</v>
      </c>
      <c r="B342" s="15" t="s">
        <v>735</v>
      </c>
      <c r="C342" s="15" t="s">
        <v>211</v>
      </c>
      <c r="D342" s="15" t="s">
        <v>736</v>
      </c>
      <c r="E342" s="15" t="s">
        <v>443</v>
      </c>
      <c r="F342" s="15" t="s">
        <v>443</v>
      </c>
      <c r="G342" s="15" t="s">
        <v>443</v>
      </c>
      <c r="H342" s="15" t="s">
        <v>443</v>
      </c>
      <c r="I342" s="15" t="s">
        <v>443</v>
      </c>
      <c r="J342" s="17">
        <f t="shared" si="5"/>
        <v>1</v>
      </c>
    </row>
    <row r="343" spans="1:10" x14ac:dyDescent="0.4">
      <c r="A343" s="16" t="s">
        <v>639</v>
      </c>
      <c r="B343" s="15" t="s">
        <v>737</v>
      </c>
      <c r="C343" s="15" t="s">
        <v>188</v>
      </c>
      <c r="D343" s="15" t="s">
        <v>738</v>
      </c>
      <c r="E343" s="15" t="s">
        <v>443</v>
      </c>
      <c r="F343" s="15" t="s">
        <v>443</v>
      </c>
      <c r="G343" s="15" t="s">
        <v>443</v>
      </c>
      <c r="H343" s="15" t="s">
        <v>443</v>
      </c>
      <c r="I343" s="15" t="s">
        <v>443</v>
      </c>
      <c r="J343" s="17">
        <f t="shared" si="5"/>
        <v>1</v>
      </c>
    </row>
    <row r="344" spans="1:10" x14ac:dyDescent="0.4">
      <c r="A344" s="16" t="s">
        <v>639</v>
      </c>
      <c r="B344" s="15" t="s">
        <v>739</v>
      </c>
      <c r="C344" s="15" t="s">
        <v>214</v>
      </c>
      <c r="D344" s="15" t="s">
        <v>214</v>
      </c>
      <c r="E344" s="15" t="s">
        <v>443</v>
      </c>
      <c r="F344" s="15" t="s">
        <v>443</v>
      </c>
      <c r="G344" s="15" t="s">
        <v>443</v>
      </c>
      <c r="H344" s="15" t="s">
        <v>443</v>
      </c>
      <c r="I344" s="15" t="s">
        <v>443</v>
      </c>
      <c r="J344" s="17">
        <f t="shared" si="5"/>
        <v>1</v>
      </c>
    </row>
    <row r="345" spans="1:10" x14ac:dyDescent="0.4">
      <c r="A345" s="16" t="s">
        <v>639</v>
      </c>
      <c r="B345" s="15" t="s">
        <v>740</v>
      </c>
      <c r="C345" s="15" t="s">
        <v>710</v>
      </c>
      <c r="D345" s="15" t="s">
        <v>734</v>
      </c>
      <c r="E345" s="15" t="s">
        <v>443</v>
      </c>
      <c r="F345" s="15" t="s">
        <v>443</v>
      </c>
      <c r="G345" s="15" t="s">
        <v>443</v>
      </c>
      <c r="H345" s="15" t="s">
        <v>443</v>
      </c>
      <c r="I345" s="15" t="s">
        <v>443</v>
      </c>
      <c r="J345" s="17">
        <f t="shared" si="5"/>
        <v>1</v>
      </c>
    </row>
    <row r="346" spans="1:10" x14ac:dyDescent="0.4">
      <c r="A346" s="16" t="s">
        <v>639</v>
      </c>
      <c r="B346" s="15" t="s">
        <v>741</v>
      </c>
      <c r="C346" s="15" t="s">
        <v>197</v>
      </c>
      <c r="D346" s="15" t="s">
        <v>197</v>
      </c>
      <c r="E346" s="15" t="s">
        <v>443</v>
      </c>
      <c r="F346" s="15" t="s">
        <v>443</v>
      </c>
      <c r="G346" s="15" t="s">
        <v>443</v>
      </c>
      <c r="H346" s="15" t="s">
        <v>443</v>
      </c>
      <c r="I346" s="15" t="s">
        <v>443</v>
      </c>
      <c r="J346" s="17">
        <f t="shared" si="5"/>
        <v>1</v>
      </c>
    </row>
    <row r="347" spans="1:10" x14ac:dyDescent="0.4">
      <c r="A347" s="16" t="s">
        <v>639</v>
      </c>
      <c r="B347" s="15" t="s">
        <v>742</v>
      </c>
      <c r="C347" s="15" t="s">
        <v>134</v>
      </c>
      <c r="D347" s="15" t="s">
        <v>743</v>
      </c>
      <c r="E347" s="15" t="s">
        <v>443</v>
      </c>
      <c r="F347" s="15" t="s">
        <v>443</v>
      </c>
      <c r="G347" s="15" t="s">
        <v>443</v>
      </c>
      <c r="H347" s="15" t="s">
        <v>443</v>
      </c>
      <c r="I347" s="15" t="s">
        <v>443</v>
      </c>
      <c r="J347" s="17">
        <f t="shared" si="5"/>
        <v>1</v>
      </c>
    </row>
    <row r="348" spans="1:10" x14ac:dyDescent="0.4">
      <c r="A348" s="16" t="s">
        <v>639</v>
      </c>
      <c r="B348" s="15" t="s">
        <v>889</v>
      </c>
      <c r="C348" s="15" t="s">
        <v>188</v>
      </c>
      <c r="D348" s="15" t="s">
        <v>890</v>
      </c>
      <c r="E348" s="15" t="s">
        <v>443</v>
      </c>
      <c r="F348" s="15">
        <v>-0.37599999999999989</v>
      </c>
      <c r="G348" s="15">
        <v>0.48</v>
      </c>
      <c r="H348" s="15">
        <v>7</v>
      </c>
      <c r="I348" s="15" t="s">
        <v>891</v>
      </c>
      <c r="J348" s="17">
        <f t="shared" si="5"/>
        <v>1</v>
      </c>
    </row>
    <row r="349" spans="1:10" x14ac:dyDescent="0.4">
      <c r="A349" s="16" t="s">
        <v>639</v>
      </c>
      <c r="B349" s="15" t="s">
        <v>892</v>
      </c>
      <c r="C349" s="15" t="s">
        <v>719</v>
      </c>
      <c r="D349" s="15" t="s">
        <v>893</v>
      </c>
      <c r="E349" s="15" t="s">
        <v>443</v>
      </c>
      <c r="F349" s="15">
        <v>-0.21857142857142861</v>
      </c>
      <c r="G349" s="15">
        <v>5.7142857142857141E-2</v>
      </c>
      <c r="H349" s="15">
        <v>14</v>
      </c>
      <c r="I349" s="15" t="s">
        <v>891</v>
      </c>
      <c r="J349" s="17">
        <f t="shared" si="5"/>
        <v>1</v>
      </c>
    </row>
    <row r="350" spans="1:10" x14ac:dyDescent="0.4">
      <c r="A350" s="16" t="s">
        <v>639</v>
      </c>
      <c r="B350" s="15" t="s">
        <v>894</v>
      </c>
      <c r="C350" s="15" t="s">
        <v>197</v>
      </c>
      <c r="D350" s="15" t="s">
        <v>895</v>
      </c>
      <c r="E350" s="15" t="s">
        <v>443</v>
      </c>
      <c r="F350" s="15">
        <v>-0.79776397515527953</v>
      </c>
      <c r="G350" s="15">
        <v>6.9565217391304349E-2</v>
      </c>
      <c r="H350" s="15">
        <v>13</v>
      </c>
      <c r="I350" s="15" t="s">
        <v>443</v>
      </c>
      <c r="J350" s="17">
        <f t="shared" si="5"/>
        <v>1</v>
      </c>
    </row>
    <row r="351" spans="1:10" x14ac:dyDescent="0.4">
      <c r="A351" s="16" t="s">
        <v>639</v>
      </c>
      <c r="B351" s="15" t="s">
        <v>896</v>
      </c>
      <c r="C351" s="15" t="s">
        <v>647</v>
      </c>
      <c r="D351" s="15" t="s">
        <v>897</v>
      </c>
      <c r="E351" s="15" t="s">
        <v>443</v>
      </c>
      <c r="F351" s="15">
        <v>-0.18947368421052629</v>
      </c>
      <c r="G351" s="15">
        <v>0.15789473684210531</v>
      </c>
      <c r="H351" s="15">
        <v>8</v>
      </c>
      <c r="I351" s="15" t="s">
        <v>443</v>
      </c>
      <c r="J351" s="17">
        <f t="shared" si="5"/>
        <v>1</v>
      </c>
    </row>
    <row r="352" spans="1:10" x14ac:dyDescent="0.4">
      <c r="A352" s="16" t="s">
        <v>639</v>
      </c>
      <c r="B352" s="15" t="s">
        <v>898</v>
      </c>
      <c r="C352" s="15" t="s">
        <v>197</v>
      </c>
      <c r="D352" s="15" t="s">
        <v>899</v>
      </c>
      <c r="E352" s="15" t="s">
        <v>443</v>
      </c>
      <c r="F352" s="15">
        <v>-0.16</v>
      </c>
      <c r="G352" s="15">
        <v>0.1333333333333333</v>
      </c>
      <c r="H352" s="15">
        <v>13</v>
      </c>
      <c r="I352" s="15" t="s">
        <v>443</v>
      </c>
      <c r="J352" s="17">
        <f t="shared" si="5"/>
        <v>1</v>
      </c>
    </row>
    <row r="353" spans="1:10" x14ac:dyDescent="0.4">
      <c r="A353" s="16" t="s">
        <v>639</v>
      </c>
      <c r="B353" s="15" t="s">
        <v>900</v>
      </c>
      <c r="C353" s="15" t="s">
        <v>188</v>
      </c>
      <c r="D353" s="15" t="s">
        <v>901</v>
      </c>
      <c r="E353" s="15" t="s">
        <v>443</v>
      </c>
      <c r="F353" s="15">
        <v>-0.34</v>
      </c>
      <c r="G353" s="15">
        <v>0.2</v>
      </c>
      <c r="H353" s="15">
        <v>12</v>
      </c>
      <c r="I353" s="15" t="s">
        <v>443</v>
      </c>
      <c r="J353" s="17">
        <f t="shared" si="5"/>
        <v>1</v>
      </c>
    </row>
    <row r="354" spans="1:10" x14ac:dyDescent="0.4">
      <c r="A354" s="16" t="s">
        <v>639</v>
      </c>
      <c r="B354" s="15" t="s">
        <v>902</v>
      </c>
      <c r="C354" s="15" t="s">
        <v>217</v>
      </c>
      <c r="D354" s="15" t="s">
        <v>903</v>
      </c>
      <c r="E354" s="15" t="s">
        <v>442</v>
      </c>
      <c r="F354" s="15">
        <v>-6.6153846153846146E-2</v>
      </c>
      <c r="G354" s="15">
        <v>0.1384615384615385</v>
      </c>
      <c r="H354" s="15">
        <v>12</v>
      </c>
      <c r="I354" s="15" t="s">
        <v>442</v>
      </c>
      <c r="J354" s="17">
        <f t="shared" si="5"/>
        <v>1</v>
      </c>
    </row>
    <row r="355" spans="1:10" x14ac:dyDescent="0.4">
      <c r="A355" s="16" t="s">
        <v>639</v>
      </c>
      <c r="B355" s="15" t="s">
        <v>904</v>
      </c>
      <c r="C355" s="15" t="s">
        <v>644</v>
      </c>
      <c r="D355" s="15" t="s">
        <v>905</v>
      </c>
      <c r="E355" s="15" t="s">
        <v>443</v>
      </c>
      <c r="F355" s="15">
        <v>-0.15</v>
      </c>
      <c r="G355" s="15">
        <v>0</v>
      </c>
      <c r="H355" s="15">
        <v>15</v>
      </c>
      <c r="I355" s="15" t="s">
        <v>891</v>
      </c>
      <c r="J355" s="17">
        <f t="shared" si="5"/>
        <v>1</v>
      </c>
    </row>
    <row r="356" spans="1:10" x14ac:dyDescent="0.4">
      <c r="A356" s="16" t="s">
        <v>639</v>
      </c>
      <c r="B356" s="15" t="s">
        <v>906</v>
      </c>
      <c r="C356" s="15" t="s">
        <v>647</v>
      </c>
      <c r="D356" s="15" t="s">
        <v>907</v>
      </c>
      <c r="E356" s="15" t="s">
        <v>443</v>
      </c>
      <c r="F356" s="15">
        <v>-0.26666666666666672</v>
      </c>
      <c r="G356" s="15">
        <v>0.22222222222222221</v>
      </c>
      <c r="H356" s="15">
        <v>11</v>
      </c>
      <c r="I356" s="15" t="s">
        <v>891</v>
      </c>
      <c r="J356" s="17">
        <f t="shared" si="5"/>
        <v>1</v>
      </c>
    </row>
    <row r="357" spans="1:10" x14ac:dyDescent="0.4">
      <c r="A357" s="16" t="s">
        <v>639</v>
      </c>
      <c r="B357" s="15" t="s">
        <v>908</v>
      </c>
      <c r="C357" s="15" t="s">
        <v>211</v>
      </c>
      <c r="D357" s="15" t="s">
        <v>909</v>
      </c>
      <c r="E357" s="15" t="s">
        <v>443</v>
      </c>
      <c r="F357" s="15">
        <v>-0.35866666666666669</v>
      </c>
      <c r="G357" s="15">
        <v>0.16</v>
      </c>
      <c r="H357" s="15">
        <v>12</v>
      </c>
      <c r="I357" s="15" t="s">
        <v>891</v>
      </c>
      <c r="J357" s="17">
        <f t="shared" si="5"/>
        <v>1</v>
      </c>
    </row>
    <row r="358" spans="1:10" x14ac:dyDescent="0.4">
      <c r="A358" s="16" t="s">
        <v>639</v>
      </c>
      <c r="B358" s="15" t="s">
        <v>910</v>
      </c>
      <c r="C358" s="15" t="s">
        <v>188</v>
      </c>
      <c r="D358" s="15" t="s">
        <v>911</v>
      </c>
      <c r="E358" s="15" t="s">
        <v>443</v>
      </c>
      <c r="F358" s="15">
        <v>-0.48901098901098899</v>
      </c>
      <c r="G358" s="15">
        <v>0.1384615384615385</v>
      </c>
      <c r="H358" s="15">
        <v>12</v>
      </c>
      <c r="I358" s="15" t="s">
        <v>891</v>
      </c>
      <c r="J358" s="17">
        <f t="shared" si="5"/>
        <v>1</v>
      </c>
    </row>
    <row r="359" spans="1:10" x14ac:dyDescent="0.4">
      <c r="A359" s="16" t="s">
        <v>639</v>
      </c>
      <c r="B359" s="15" t="s">
        <v>912</v>
      </c>
      <c r="C359" s="15" t="s">
        <v>197</v>
      </c>
      <c r="D359" s="15" t="s">
        <v>913</v>
      </c>
      <c r="E359" s="15" t="s">
        <v>444</v>
      </c>
      <c r="F359" s="15">
        <v>0.14670476190476189</v>
      </c>
      <c r="G359" s="15">
        <v>9.6000000000000002E-2</v>
      </c>
      <c r="H359" s="15">
        <v>13</v>
      </c>
      <c r="I359" s="15" t="s">
        <v>1070</v>
      </c>
      <c r="J359" s="17">
        <f t="shared" si="5"/>
        <v>1</v>
      </c>
    </row>
    <row r="360" spans="1:10" x14ac:dyDescent="0.4">
      <c r="A360" s="16" t="s">
        <v>639</v>
      </c>
      <c r="B360" s="15" t="s">
        <v>914</v>
      </c>
      <c r="C360" s="15" t="s">
        <v>197</v>
      </c>
      <c r="D360" s="15" t="s">
        <v>915</v>
      </c>
      <c r="E360" s="15" t="s">
        <v>442</v>
      </c>
      <c r="F360" s="15">
        <v>8.3188405797101447E-2</v>
      </c>
      <c r="G360" s="15">
        <v>6.9565217391304349E-2</v>
      </c>
      <c r="H360" s="15">
        <v>13</v>
      </c>
      <c r="I360" s="15" t="s">
        <v>1069</v>
      </c>
      <c r="J360" s="17">
        <f t="shared" si="5"/>
        <v>1</v>
      </c>
    </row>
    <row r="361" spans="1:10" x14ac:dyDescent="0.4">
      <c r="A361" s="16" t="s">
        <v>639</v>
      </c>
      <c r="B361" s="15" t="s">
        <v>916</v>
      </c>
      <c r="C361" s="15" t="s">
        <v>134</v>
      </c>
      <c r="D361" s="15" t="s">
        <v>917</v>
      </c>
      <c r="E361" s="15" t="s">
        <v>444</v>
      </c>
      <c r="F361" s="15">
        <v>0.28599999999999998</v>
      </c>
      <c r="G361" s="15">
        <v>5.3333333333333337E-2</v>
      </c>
      <c r="H361" s="15">
        <v>14</v>
      </c>
      <c r="I361" s="15" t="s">
        <v>1070</v>
      </c>
      <c r="J361" s="17">
        <f t="shared" si="5"/>
        <v>1</v>
      </c>
    </row>
    <row r="362" spans="1:10" x14ac:dyDescent="0.4">
      <c r="A362" s="16" t="s">
        <v>639</v>
      </c>
      <c r="B362" s="15" t="s">
        <v>918</v>
      </c>
      <c r="C362" s="15" t="s">
        <v>211</v>
      </c>
      <c r="D362" s="15" t="s">
        <v>919</v>
      </c>
      <c r="E362" s="15" t="s">
        <v>443</v>
      </c>
      <c r="F362" s="15">
        <v>-0.12714285714285711</v>
      </c>
      <c r="G362" s="15">
        <v>0.05</v>
      </c>
      <c r="H362" s="15">
        <v>14</v>
      </c>
      <c r="I362" s="15" t="s">
        <v>891</v>
      </c>
      <c r="J362" s="17">
        <f t="shared" si="5"/>
        <v>1</v>
      </c>
    </row>
    <row r="363" spans="1:10" x14ac:dyDescent="0.4">
      <c r="A363" s="16" t="s">
        <v>639</v>
      </c>
      <c r="B363" s="15" t="s">
        <v>920</v>
      </c>
      <c r="C363" s="15" t="s">
        <v>232</v>
      </c>
      <c r="D363" s="15" t="s">
        <v>921</v>
      </c>
      <c r="E363" s="15" t="s">
        <v>444</v>
      </c>
      <c r="F363" s="15">
        <v>0.23333333333333331</v>
      </c>
      <c r="G363" s="15">
        <v>0</v>
      </c>
      <c r="H363" s="15">
        <v>15</v>
      </c>
      <c r="I363" s="15" t="s">
        <v>1070</v>
      </c>
      <c r="J363" s="17">
        <f t="shared" si="5"/>
        <v>1</v>
      </c>
    </row>
    <row r="364" spans="1:10" x14ac:dyDescent="0.4">
      <c r="A364" s="16" t="s">
        <v>639</v>
      </c>
      <c r="B364" s="15" t="s">
        <v>922</v>
      </c>
      <c r="C364" s="15" t="s">
        <v>197</v>
      </c>
      <c r="D364" s="15" t="s">
        <v>923</v>
      </c>
      <c r="E364" s="15" t="s">
        <v>443</v>
      </c>
      <c r="F364" s="15">
        <v>-0.2393103448275862</v>
      </c>
      <c r="G364" s="15">
        <v>8.2758620689655171E-2</v>
      </c>
      <c r="H364" s="15">
        <v>13</v>
      </c>
      <c r="I364" s="15" t="s">
        <v>891</v>
      </c>
      <c r="J364" s="17">
        <f t="shared" si="5"/>
        <v>1</v>
      </c>
    </row>
    <row r="365" spans="1:10" x14ac:dyDescent="0.4">
      <c r="A365" s="16" t="s">
        <v>639</v>
      </c>
      <c r="B365" s="15" t="s">
        <v>924</v>
      </c>
      <c r="C365" s="15" t="s">
        <v>197</v>
      </c>
      <c r="D365" s="15" t="s">
        <v>925</v>
      </c>
      <c r="E365" s="15" t="s">
        <v>442</v>
      </c>
      <c r="F365" s="15">
        <v>-6.9737504919323096E-2</v>
      </c>
      <c r="G365" s="15">
        <v>6.8571428571428575E-2</v>
      </c>
      <c r="H365" s="15">
        <v>10</v>
      </c>
      <c r="I365" s="15" t="s">
        <v>1069</v>
      </c>
      <c r="J365" s="17">
        <f t="shared" si="5"/>
        <v>1</v>
      </c>
    </row>
    <row r="366" spans="1:10" x14ac:dyDescent="0.4">
      <c r="A366" s="16" t="s">
        <v>639</v>
      </c>
      <c r="B366" s="15" t="s">
        <v>926</v>
      </c>
      <c r="C366" s="15" t="s">
        <v>220</v>
      </c>
      <c r="D366" s="15" t="s">
        <v>927</v>
      </c>
      <c r="E366" s="15" t="s">
        <v>443</v>
      </c>
      <c r="F366" s="15">
        <v>-0.54</v>
      </c>
      <c r="G366" s="15">
        <v>0.45</v>
      </c>
      <c r="H366" s="15">
        <v>8</v>
      </c>
      <c r="I366" s="15" t="s">
        <v>891</v>
      </c>
      <c r="J366" s="17">
        <f t="shared" si="5"/>
        <v>1</v>
      </c>
    </row>
    <row r="367" spans="1:10" x14ac:dyDescent="0.4">
      <c r="A367" s="16" t="s">
        <v>639</v>
      </c>
      <c r="B367" s="15" t="s">
        <v>928</v>
      </c>
      <c r="C367" s="15" t="s">
        <v>197</v>
      </c>
      <c r="D367" s="15" t="s">
        <v>929</v>
      </c>
      <c r="E367" s="15" t="s">
        <v>444</v>
      </c>
      <c r="F367" s="15">
        <v>0.36</v>
      </c>
      <c r="G367" s="15">
        <v>8.8888888888888892E-2</v>
      </c>
      <c r="H367" s="15">
        <v>13</v>
      </c>
      <c r="I367" s="15" t="s">
        <v>1070</v>
      </c>
      <c r="J367" s="17">
        <f t="shared" si="5"/>
        <v>1</v>
      </c>
    </row>
    <row r="368" spans="1:10" x14ac:dyDescent="0.4">
      <c r="A368" s="16" t="s">
        <v>639</v>
      </c>
      <c r="B368" s="15" t="s">
        <v>930</v>
      </c>
      <c r="C368" s="15" t="s">
        <v>673</v>
      </c>
      <c r="D368" s="15" t="s">
        <v>931</v>
      </c>
      <c r="E368" s="15" t="s">
        <v>443</v>
      </c>
      <c r="F368" s="15">
        <v>-0.14399999999999999</v>
      </c>
      <c r="G368" s="15">
        <v>0.12</v>
      </c>
      <c r="H368" s="15">
        <v>13</v>
      </c>
      <c r="I368" s="15" t="s">
        <v>891</v>
      </c>
      <c r="J368" s="17">
        <f t="shared" si="5"/>
        <v>1</v>
      </c>
    </row>
    <row r="369" spans="1:10" x14ac:dyDescent="0.4">
      <c r="A369" s="16" t="s">
        <v>639</v>
      </c>
      <c r="B369" s="15" t="s">
        <v>932</v>
      </c>
      <c r="C369" s="15" t="s">
        <v>134</v>
      </c>
      <c r="D369" s="15" t="s">
        <v>933</v>
      </c>
      <c r="E369" s="15" t="s">
        <v>443</v>
      </c>
      <c r="F369" s="15">
        <v>-0.38385964912280701</v>
      </c>
      <c r="G369" s="15">
        <v>4.2105263157894743E-2</v>
      </c>
      <c r="H369" s="15">
        <v>14</v>
      </c>
      <c r="I369" s="15" t="s">
        <v>891</v>
      </c>
      <c r="J369" s="17">
        <f t="shared" si="5"/>
        <v>1</v>
      </c>
    </row>
    <row r="370" spans="1:10" x14ac:dyDescent="0.4">
      <c r="A370" s="16" t="s">
        <v>639</v>
      </c>
      <c r="B370" s="15" t="s">
        <v>934</v>
      </c>
      <c r="C370" s="15" t="s">
        <v>188</v>
      </c>
      <c r="D370" s="15" t="s">
        <v>935</v>
      </c>
      <c r="E370" s="15" t="s">
        <v>443</v>
      </c>
      <c r="F370" s="15">
        <v>-0.1466666666666667</v>
      </c>
      <c r="G370" s="15">
        <v>0.15</v>
      </c>
      <c r="H370" s="15">
        <v>12</v>
      </c>
      <c r="I370" s="15" t="s">
        <v>891</v>
      </c>
      <c r="J370" s="17">
        <f t="shared" si="5"/>
        <v>1</v>
      </c>
    </row>
    <row r="371" spans="1:10" x14ac:dyDescent="0.4">
      <c r="A371" s="16" t="s">
        <v>639</v>
      </c>
      <c r="B371" s="15" t="s">
        <v>936</v>
      </c>
      <c r="C371" s="15" t="s">
        <v>197</v>
      </c>
      <c r="D371" s="15" t="s">
        <v>937</v>
      </c>
      <c r="E371" s="15" t="s">
        <v>443</v>
      </c>
      <c r="F371" s="15">
        <v>-0.23555555555555549</v>
      </c>
      <c r="G371" s="15">
        <v>0.15</v>
      </c>
      <c r="H371" s="15">
        <v>12</v>
      </c>
      <c r="I371" s="15" t="s">
        <v>891</v>
      </c>
      <c r="J371" s="17">
        <f t="shared" si="5"/>
        <v>1</v>
      </c>
    </row>
    <row r="372" spans="1:10" x14ac:dyDescent="0.4">
      <c r="A372" s="16" t="s">
        <v>639</v>
      </c>
      <c r="B372" s="15" t="s">
        <v>938</v>
      </c>
      <c r="C372" s="15" t="s">
        <v>197</v>
      </c>
      <c r="D372" s="15" t="s">
        <v>939</v>
      </c>
      <c r="E372" s="15" t="s">
        <v>443</v>
      </c>
      <c r="F372" s="15">
        <v>-0.13714285714285709</v>
      </c>
      <c r="G372" s="15">
        <v>0.1142857142857143</v>
      </c>
      <c r="H372" s="15">
        <v>13</v>
      </c>
      <c r="I372" s="15" t="s">
        <v>891</v>
      </c>
      <c r="J372" s="17">
        <f t="shared" si="5"/>
        <v>1</v>
      </c>
    </row>
    <row r="373" spans="1:10" x14ac:dyDescent="0.4">
      <c r="A373" s="16" t="s">
        <v>639</v>
      </c>
      <c r="B373" s="15" t="s">
        <v>940</v>
      </c>
      <c r="C373" s="15" t="s">
        <v>217</v>
      </c>
      <c r="D373" s="15" t="s">
        <v>941</v>
      </c>
      <c r="E373" s="15" t="s">
        <v>444</v>
      </c>
      <c r="F373" s="15">
        <v>0.2363157894736842</v>
      </c>
      <c r="G373" s="15">
        <v>9.4736842105263161E-2</v>
      </c>
      <c r="H373" s="15">
        <v>13</v>
      </c>
      <c r="I373" s="15" t="s">
        <v>1070</v>
      </c>
      <c r="J373" s="17">
        <f t="shared" si="5"/>
        <v>1</v>
      </c>
    </row>
    <row r="374" spans="1:10" x14ac:dyDescent="0.4">
      <c r="A374" s="16" t="s">
        <v>639</v>
      </c>
      <c r="B374" s="15" t="s">
        <v>942</v>
      </c>
      <c r="C374" s="15" t="s">
        <v>656</v>
      </c>
      <c r="D374" s="15" t="s">
        <v>943</v>
      </c>
      <c r="E374" s="15" t="s">
        <v>443</v>
      </c>
      <c r="F374" s="15">
        <v>-0.12666666666666659</v>
      </c>
      <c r="G374" s="15">
        <v>0.1333333333333333</v>
      </c>
      <c r="H374" s="15">
        <v>13</v>
      </c>
      <c r="I374" s="15" t="s">
        <v>891</v>
      </c>
      <c r="J374" s="17">
        <f t="shared" si="5"/>
        <v>1</v>
      </c>
    </row>
    <row r="375" spans="1:10" x14ac:dyDescent="0.4">
      <c r="A375" s="16" t="s">
        <v>639</v>
      </c>
      <c r="B375" s="15" t="s">
        <v>944</v>
      </c>
      <c r="C375" s="15" t="s">
        <v>707</v>
      </c>
      <c r="D375" s="15" t="s">
        <v>945</v>
      </c>
      <c r="E375" s="15" t="s">
        <v>443</v>
      </c>
      <c r="F375" s="15">
        <v>-0.34318181818181809</v>
      </c>
      <c r="G375" s="15">
        <v>0.1818181818181818</v>
      </c>
      <c r="H375" s="15">
        <v>12</v>
      </c>
      <c r="I375" s="15" t="s">
        <v>443</v>
      </c>
      <c r="J375" s="17">
        <f t="shared" si="5"/>
        <v>1</v>
      </c>
    </row>
    <row r="376" spans="1:10" x14ac:dyDescent="0.4">
      <c r="A376" s="16" t="s">
        <v>639</v>
      </c>
      <c r="B376" s="15" t="s">
        <v>946</v>
      </c>
      <c r="C376" s="15" t="s">
        <v>211</v>
      </c>
      <c r="D376" s="15" t="s">
        <v>947</v>
      </c>
      <c r="E376" s="15" t="s">
        <v>444</v>
      </c>
      <c r="F376" s="15">
        <v>0.28507142857142859</v>
      </c>
      <c r="G376" s="15">
        <v>2.2857142857142861E-2</v>
      </c>
      <c r="H376" s="15">
        <v>10</v>
      </c>
      <c r="I376" s="15" t="s">
        <v>1070</v>
      </c>
      <c r="J376" s="17">
        <f t="shared" si="5"/>
        <v>1</v>
      </c>
    </row>
    <row r="377" spans="1:10" x14ac:dyDescent="0.4">
      <c r="A377" s="16" t="s">
        <v>639</v>
      </c>
      <c r="B377" s="15" t="s">
        <v>948</v>
      </c>
      <c r="C377" s="15" t="s">
        <v>197</v>
      </c>
      <c r="D377" s="15" t="s">
        <v>949</v>
      </c>
      <c r="E377" s="15" t="s">
        <v>443</v>
      </c>
      <c r="F377" s="15">
        <v>-0.38400000000000001</v>
      </c>
      <c r="G377" s="15">
        <v>0.32</v>
      </c>
      <c r="H377" s="15">
        <v>10</v>
      </c>
      <c r="I377" s="15" t="s">
        <v>1070</v>
      </c>
      <c r="J377" s="17">
        <f t="shared" si="5"/>
        <v>0</v>
      </c>
    </row>
    <row r="378" spans="1:10" x14ac:dyDescent="0.4">
      <c r="A378" s="16" t="s">
        <v>639</v>
      </c>
      <c r="B378" s="15" t="s">
        <v>950</v>
      </c>
      <c r="C378" s="15" t="s">
        <v>745</v>
      </c>
      <c r="D378" s="15" t="s">
        <v>951</v>
      </c>
      <c r="E378" s="15" t="s">
        <v>442</v>
      </c>
      <c r="F378" s="15">
        <v>7.3030303030303029E-2</v>
      </c>
      <c r="G378" s="15">
        <v>5.2777777777777778E-2</v>
      </c>
      <c r="H378" s="15">
        <v>14</v>
      </c>
      <c r="I378" s="15" t="s">
        <v>442</v>
      </c>
      <c r="J378" s="17">
        <f t="shared" si="5"/>
        <v>1</v>
      </c>
    </row>
    <row r="379" spans="1:10" x14ac:dyDescent="0.4">
      <c r="A379" s="16" t="s">
        <v>639</v>
      </c>
      <c r="B379" s="15" t="s">
        <v>952</v>
      </c>
      <c r="C379" s="15" t="s">
        <v>197</v>
      </c>
      <c r="D379" s="15" t="s">
        <v>953</v>
      </c>
      <c r="E379" s="15" t="s">
        <v>443</v>
      </c>
      <c r="F379" s="15">
        <v>-0.32</v>
      </c>
      <c r="G379" s="15">
        <v>0.26666666666666672</v>
      </c>
      <c r="H379" s="15">
        <v>11</v>
      </c>
      <c r="I379" s="15" t="s">
        <v>443</v>
      </c>
      <c r="J379" s="17">
        <f t="shared" si="5"/>
        <v>1</v>
      </c>
    </row>
    <row r="380" spans="1:10" x14ac:dyDescent="0.4">
      <c r="A380" s="16" t="s">
        <v>639</v>
      </c>
      <c r="B380" s="15" t="s">
        <v>954</v>
      </c>
      <c r="C380" s="15" t="s">
        <v>707</v>
      </c>
      <c r="D380" s="15" t="s">
        <v>955</v>
      </c>
      <c r="E380" s="15" t="s">
        <v>443</v>
      </c>
      <c r="F380" s="15">
        <v>-0.2</v>
      </c>
      <c r="G380" s="15">
        <v>0.16666666666666671</v>
      </c>
      <c r="H380" s="15">
        <v>12</v>
      </c>
      <c r="I380" s="15" t="s">
        <v>443</v>
      </c>
      <c r="J380" s="17">
        <f t="shared" si="5"/>
        <v>1</v>
      </c>
    </row>
    <row r="381" spans="1:10" x14ac:dyDescent="0.4">
      <c r="A381" s="16" t="s">
        <v>639</v>
      </c>
      <c r="B381" s="15" t="s">
        <v>956</v>
      </c>
      <c r="C381" s="15" t="s">
        <v>644</v>
      </c>
      <c r="D381" s="15" t="s">
        <v>957</v>
      </c>
      <c r="E381" s="15" t="s">
        <v>442</v>
      </c>
      <c r="F381" s="15">
        <v>0</v>
      </c>
      <c r="G381" s="15">
        <v>0</v>
      </c>
      <c r="H381" s="15">
        <v>15</v>
      </c>
      <c r="I381" s="15" t="s">
        <v>442</v>
      </c>
      <c r="J381" s="17">
        <f t="shared" si="5"/>
        <v>1</v>
      </c>
    </row>
    <row r="382" spans="1:10" x14ac:dyDescent="0.4">
      <c r="A382" s="16" t="s">
        <v>639</v>
      </c>
      <c r="B382" s="15" t="s">
        <v>958</v>
      </c>
      <c r="C382" s="15" t="s">
        <v>197</v>
      </c>
      <c r="D382" s="15" t="s">
        <v>959</v>
      </c>
      <c r="E382" s="15" t="s">
        <v>443</v>
      </c>
      <c r="F382" s="15">
        <v>-0.128</v>
      </c>
      <c r="G382" s="15">
        <v>0.1066666666666667</v>
      </c>
      <c r="H382" s="15">
        <v>13</v>
      </c>
      <c r="I382" s="15" t="s">
        <v>443</v>
      </c>
      <c r="J382" s="17">
        <f t="shared" si="5"/>
        <v>1</v>
      </c>
    </row>
    <row r="383" spans="1:10" x14ac:dyDescent="0.4">
      <c r="A383" s="16" t="s">
        <v>639</v>
      </c>
      <c r="B383" s="15" t="s">
        <v>960</v>
      </c>
      <c r="C383" s="15" t="s">
        <v>214</v>
      </c>
      <c r="D383" s="15" t="s">
        <v>961</v>
      </c>
      <c r="E383" s="15" t="s">
        <v>443</v>
      </c>
      <c r="F383" s="15">
        <v>-0.1028571428571429</v>
      </c>
      <c r="G383" s="15">
        <v>8.5714285714285715E-2</v>
      </c>
      <c r="H383" s="15">
        <v>13</v>
      </c>
      <c r="I383" s="15" t="s">
        <v>443</v>
      </c>
      <c r="J383" s="17">
        <f t="shared" si="5"/>
        <v>1</v>
      </c>
    </row>
    <row r="384" spans="1:10" x14ac:dyDescent="0.4">
      <c r="A384" s="16" t="s">
        <v>639</v>
      </c>
      <c r="B384" s="15" t="s">
        <v>962</v>
      </c>
      <c r="C384" s="15" t="s">
        <v>748</v>
      </c>
      <c r="D384" s="15" t="s">
        <v>963</v>
      </c>
      <c r="E384" s="15" t="s">
        <v>443</v>
      </c>
      <c r="F384" s="15">
        <v>-0.17428571428571429</v>
      </c>
      <c r="G384" s="15">
        <v>0.38333333333333341</v>
      </c>
      <c r="H384" s="15">
        <v>9</v>
      </c>
      <c r="I384" s="15" t="s">
        <v>443</v>
      </c>
      <c r="J384" s="17">
        <f t="shared" si="5"/>
        <v>1</v>
      </c>
    </row>
    <row r="385" spans="1:10" x14ac:dyDescent="0.4">
      <c r="A385" s="16" t="s">
        <v>639</v>
      </c>
      <c r="B385" s="15" t="s">
        <v>964</v>
      </c>
      <c r="C385" s="15" t="s">
        <v>197</v>
      </c>
      <c r="D385" s="15" t="s">
        <v>965</v>
      </c>
      <c r="E385" s="15" t="s">
        <v>443</v>
      </c>
      <c r="F385" s="15">
        <v>-0.25044117647058822</v>
      </c>
      <c r="G385" s="15">
        <v>9.4117647058823528E-2</v>
      </c>
      <c r="H385" s="15">
        <v>13</v>
      </c>
      <c r="I385" s="15" t="s">
        <v>443</v>
      </c>
      <c r="J385" s="17">
        <f t="shared" si="5"/>
        <v>1</v>
      </c>
    </row>
    <row r="386" spans="1:10" x14ac:dyDescent="0.4">
      <c r="A386" s="16" t="s">
        <v>639</v>
      </c>
      <c r="B386" s="15" t="s">
        <v>966</v>
      </c>
      <c r="C386" s="15" t="s">
        <v>211</v>
      </c>
      <c r="D386" s="15" t="s">
        <v>211</v>
      </c>
      <c r="E386" s="15" t="s">
        <v>443</v>
      </c>
      <c r="F386" s="15">
        <v>-0.48</v>
      </c>
      <c r="G386" s="15">
        <v>0.4</v>
      </c>
      <c r="H386" s="15">
        <v>9</v>
      </c>
      <c r="I386" s="15" t="s">
        <v>443</v>
      </c>
      <c r="J386" s="17">
        <f t="shared" si="5"/>
        <v>1</v>
      </c>
    </row>
    <row r="387" spans="1:10" x14ac:dyDescent="0.4">
      <c r="A387" s="16" t="s">
        <v>639</v>
      </c>
      <c r="B387" s="15" t="s">
        <v>967</v>
      </c>
      <c r="C387" s="15" t="s">
        <v>644</v>
      </c>
      <c r="D387" s="15" t="s">
        <v>968</v>
      </c>
      <c r="E387" s="15" t="s">
        <v>442</v>
      </c>
      <c r="F387" s="15">
        <v>7.4999999999999997E-2</v>
      </c>
      <c r="G387" s="15">
        <v>0</v>
      </c>
      <c r="H387" s="15">
        <v>15</v>
      </c>
      <c r="I387" s="15" t="s">
        <v>442</v>
      </c>
      <c r="J387" s="17">
        <f t="shared" si="5"/>
        <v>1</v>
      </c>
    </row>
    <row r="388" spans="1:10" x14ac:dyDescent="0.4">
      <c r="A388" s="16" t="s">
        <v>639</v>
      </c>
      <c r="B388" s="15" t="s">
        <v>969</v>
      </c>
      <c r="C388" s="15" t="s">
        <v>134</v>
      </c>
      <c r="D388" s="15" t="s">
        <v>970</v>
      </c>
      <c r="E388" s="15" t="s">
        <v>442</v>
      </c>
      <c r="F388" s="15">
        <v>-7.7922077922076838E-4</v>
      </c>
      <c r="G388" s="15">
        <v>0.1142857142857143</v>
      </c>
      <c r="H388" s="15">
        <v>13</v>
      </c>
      <c r="I388" s="15" t="s">
        <v>442</v>
      </c>
      <c r="J388" s="17">
        <f t="shared" si="5"/>
        <v>1</v>
      </c>
    </row>
    <row r="389" spans="1:10" x14ac:dyDescent="0.4">
      <c r="A389" s="16" t="s">
        <v>639</v>
      </c>
      <c r="B389" s="15" t="s">
        <v>971</v>
      </c>
      <c r="C389" s="15" t="s">
        <v>647</v>
      </c>
      <c r="D389" s="15" t="s">
        <v>972</v>
      </c>
      <c r="E389" s="15" t="s">
        <v>443</v>
      </c>
      <c r="F389" s="15">
        <v>-0.51818181818181819</v>
      </c>
      <c r="G389" s="15">
        <v>0.1818181818181818</v>
      </c>
      <c r="H389" s="15">
        <v>12</v>
      </c>
      <c r="I389" s="15" t="s">
        <v>443</v>
      </c>
      <c r="J389" s="17">
        <f t="shared" si="5"/>
        <v>1</v>
      </c>
    </row>
    <row r="390" spans="1:10" x14ac:dyDescent="0.4">
      <c r="A390" s="16" t="s">
        <v>639</v>
      </c>
      <c r="B390" s="15" t="s">
        <v>973</v>
      </c>
      <c r="C390" s="15" t="s">
        <v>217</v>
      </c>
      <c r="D390" s="15" t="s">
        <v>974</v>
      </c>
      <c r="E390" s="15" t="s">
        <v>443</v>
      </c>
      <c r="F390" s="15">
        <v>-0.25182222222222223</v>
      </c>
      <c r="G390" s="15">
        <v>0.108</v>
      </c>
      <c r="H390" s="15">
        <v>13</v>
      </c>
      <c r="I390" s="15" t="s">
        <v>443</v>
      </c>
      <c r="J390" s="17">
        <f t="shared" si="5"/>
        <v>1</v>
      </c>
    </row>
    <row r="391" spans="1:10" x14ac:dyDescent="0.4">
      <c r="A391" s="16" t="s">
        <v>639</v>
      </c>
      <c r="B391" s="15" t="s">
        <v>975</v>
      </c>
      <c r="C391" s="15" t="s">
        <v>197</v>
      </c>
      <c r="D391" s="15" t="s">
        <v>976</v>
      </c>
      <c r="E391" s="15" t="s">
        <v>443</v>
      </c>
      <c r="F391" s="15">
        <v>-0.24</v>
      </c>
      <c r="G391" s="15">
        <v>0.2</v>
      </c>
      <c r="H391" s="15">
        <v>12</v>
      </c>
      <c r="I391" s="15" t="s">
        <v>443</v>
      </c>
      <c r="J391" s="17">
        <f t="shared" ref="J391:J454" si="6">IF(I391=E391,1,0)</f>
        <v>1</v>
      </c>
    </row>
    <row r="392" spans="1:10" x14ac:dyDescent="0.4">
      <c r="A392" s="16" t="s">
        <v>639</v>
      </c>
      <c r="B392" s="15" t="s">
        <v>977</v>
      </c>
      <c r="C392" s="15" t="s">
        <v>707</v>
      </c>
      <c r="D392" s="15" t="s">
        <v>978</v>
      </c>
      <c r="E392" s="15" t="s">
        <v>442</v>
      </c>
      <c r="F392" s="15">
        <v>0</v>
      </c>
      <c r="G392" s="15">
        <v>0.25</v>
      </c>
      <c r="H392" s="15">
        <v>11</v>
      </c>
      <c r="I392" s="15" t="s">
        <v>442</v>
      </c>
      <c r="J392" s="17">
        <f t="shared" si="6"/>
        <v>1</v>
      </c>
    </row>
    <row r="393" spans="1:10" x14ac:dyDescent="0.4">
      <c r="A393" s="16" t="s">
        <v>639</v>
      </c>
      <c r="B393" s="15" t="s">
        <v>979</v>
      </c>
      <c r="C393" s="15" t="s">
        <v>188</v>
      </c>
      <c r="D393" s="15" t="s">
        <v>980</v>
      </c>
      <c r="E393" s="15" t="s">
        <v>443</v>
      </c>
      <c r="F393" s="15">
        <v>-0.24</v>
      </c>
      <c r="G393" s="15">
        <v>0.2</v>
      </c>
      <c r="H393" s="15">
        <v>12</v>
      </c>
      <c r="I393" s="15" t="s">
        <v>443</v>
      </c>
      <c r="J393" s="17">
        <f t="shared" si="6"/>
        <v>1</v>
      </c>
    </row>
    <row r="394" spans="1:10" x14ac:dyDescent="0.4">
      <c r="A394" s="16" t="s">
        <v>639</v>
      </c>
      <c r="B394" s="15" t="s">
        <v>981</v>
      </c>
      <c r="C394" s="15" t="s">
        <v>197</v>
      </c>
      <c r="D394" s="15" t="s">
        <v>751</v>
      </c>
      <c r="E394" s="15" t="s">
        <v>443</v>
      </c>
      <c r="F394" s="15">
        <v>-0.64</v>
      </c>
      <c r="G394" s="15">
        <v>0.53333333333333333</v>
      </c>
      <c r="H394" s="15">
        <v>7</v>
      </c>
      <c r="I394" s="15" t="s">
        <v>442</v>
      </c>
      <c r="J394" s="17">
        <f t="shared" si="6"/>
        <v>0</v>
      </c>
    </row>
    <row r="395" spans="1:10" x14ac:dyDescent="0.4">
      <c r="A395" s="16" t="s">
        <v>639</v>
      </c>
      <c r="B395" s="15" t="s">
        <v>982</v>
      </c>
      <c r="C395" s="15" t="s">
        <v>218</v>
      </c>
      <c r="D395" s="15" t="s">
        <v>983</v>
      </c>
      <c r="E395" s="15" t="s">
        <v>443</v>
      </c>
      <c r="F395" s="15">
        <v>-0.58999999999999986</v>
      </c>
      <c r="G395" s="15">
        <v>0.2</v>
      </c>
      <c r="H395" s="15">
        <v>12</v>
      </c>
      <c r="I395" s="15" t="s">
        <v>442</v>
      </c>
      <c r="J395" s="17">
        <f t="shared" si="6"/>
        <v>0</v>
      </c>
    </row>
    <row r="396" spans="1:10" x14ac:dyDescent="0.4">
      <c r="A396" s="16" t="s">
        <v>639</v>
      </c>
      <c r="B396" s="15" t="s">
        <v>984</v>
      </c>
      <c r="C396" s="15" t="s">
        <v>211</v>
      </c>
      <c r="D396" s="15" t="s">
        <v>985</v>
      </c>
      <c r="E396" s="15" t="s">
        <v>443</v>
      </c>
      <c r="F396" s="15">
        <v>-0.1066666666666667</v>
      </c>
      <c r="G396" s="15">
        <v>8.8888888888888892E-2</v>
      </c>
      <c r="H396" s="15">
        <v>13</v>
      </c>
      <c r="I396" s="15" t="s">
        <v>442</v>
      </c>
      <c r="J396" s="17">
        <f t="shared" si="6"/>
        <v>0</v>
      </c>
    </row>
    <row r="397" spans="1:10" x14ac:dyDescent="0.4">
      <c r="A397" s="16" t="s">
        <v>639</v>
      </c>
      <c r="B397" s="15" t="s">
        <v>986</v>
      </c>
      <c r="C397" s="15" t="s">
        <v>197</v>
      </c>
      <c r="D397" s="15" t="s">
        <v>987</v>
      </c>
      <c r="E397" s="15" t="s">
        <v>443</v>
      </c>
      <c r="F397" s="15">
        <v>-0.24</v>
      </c>
      <c r="G397" s="15">
        <v>0.2</v>
      </c>
      <c r="H397" s="15">
        <v>12</v>
      </c>
      <c r="I397" s="15" t="s">
        <v>443</v>
      </c>
      <c r="J397" s="17">
        <f t="shared" si="6"/>
        <v>1</v>
      </c>
    </row>
    <row r="398" spans="1:10" x14ac:dyDescent="0.4">
      <c r="A398" s="16" t="s">
        <v>639</v>
      </c>
      <c r="B398" s="15" t="s">
        <v>989</v>
      </c>
      <c r="C398" s="15" t="s">
        <v>197</v>
      </c>
      <c r="D398" s="15" t="s">
        <v>990</v>
      </c>
      <c r="E398" s="15" t="s">
        <v>442</v>
      </c>
      <c r="F398" s="15">
        <v>-5.563636363636365E-2</v>
      </c>
      <c r="G398" s="15">
        <v>0.16</v>
      </c>
      <c r="H398" s="15">
        <v>12</v>
      </c>
      <c r="I398" s="15" t="s">
        <v>442</v>
      </c>
      <c r="J398" s="17">
        <f t="shared" si="6"/>
        <v>1</v>
      </c>
    </row>
    <row r="399" spans="1:10" x14ac:dyDescent="0.4">
      <c r="A399" s="16" t="s">
        <v>639</v>
      </c>
      <c r="B399" s="15" t="s">
        <v>991</v>
      </c>
      <c r="C399" s="15" t="s">
        <v>197</v>
      </c>
      <c r="D399" s="15" t="s">
        <v>992</v>
      </c>
      <c r="E399" s="15" t="s">
        <v>443</v>
      </c>
      <c r="F399" s="15">
        <v>-0.21</v>
      </c>
      <c r="G399" s="15">
        <v>0.1333333333333333</v>
      </c>
      <c r="H399" s="15">
        <v>13</v>
      </c>
      <c r="I399" s="15" t="s">
        <v>443</v>
      </c>
      <c r="J399" s="17">
        <f t="shared" si="6"/>
        <v>1</v>
      </c>
    </row>
    <row r="400" spans="1:10" x14ac:dyDescent="0.4">
      <c r="A400" s="16" t="s">
        <v>639</v>
      </c>
      <c r="B400" s="15" t="s">
        <v>993</v>
      </c>
      <c r="C400" s="15" t="s">
        <v>647</v>
      </c>
      <c r="D400" s="15" t="s">
        <v>994</v>
      </c>
      <c r="E400" s="15" t="s">
        <v>443</v>
      </c>
      <c r="F400" s="15">
        <v>-0.28809523809523813</v>
      </c>
      <c r="G400" s="15">
        <v>0.14285714285714279</v>
      </c>
      <c r="H400" s="15">
        <v>12</v>
      </c>
      <c r="I400" s="15" t="s">
        <v>443</v>
      </c>
      <c r="J400" s="17">
        <f t="shared" si="6"/>
        <v>1</v>
      </c>
    </row>
    <row r="401" spans="1:10" x14ac:dyDescent="0.4">
      <c r="A401" s="16" t="s">
        <v>639</v>
      </c>
      <c r="B401" s="15" t="s">
        <v>995</v>
      </c>
      <c r="C401" s="15" t="s">
        <v>222</v>
      </c>
      <c r="D401" s="15" t="s">
        <v>996</v>
      </c>
      <c r="E401" s="15" t="s">
        <v>444</v>
      </c>
      <c r="F401" s="15">
        <v>0.255</v>
      </c>
      <c r="G401" s="15">
        <v>0.1</v>
      </c>
      <c r="H401" s="15">
        <v>13</v>
      </c>
      <c r="I401" s="15" t="s">
        <v>444</v>
      </c>
      <c r="J401" s="17">
        <f t="shared" si="6"/>
        <v>1</v>
      </c>
    </row>
    <row r="402" spans="1:10" x14ac:dyDescent="0.4">
      <c r="A402" s="16" t="s">
        <v>639</v>
      </c>
      <c r="B402" s="15" t="s">
        <v>997</v>
      </c>
      <c r="C402" s="15" t="s">
        <v>671</v>
      </c>
      <c r="D402" s="15" t="s">
        <v>998</v>
      </c>
      <c r="E402" s="15" t="s">
        <v>444</v>
      </c>
      <c r="F402" s="15">
        <v>0.13923076923076921</v>
      </c>
      <c r="G402" s="15">
        <v>9.2307692307692313E-2</v>
      </c>
      <c r="H402" s="15">
        <v>13</v>
      </c>
      <c r="I402" s="15" t="s">
        <v>444</v>
      </c>
      <c r="J402" s="17">
        <f t="shared" si="6"/>
        <v>1</v>
      </c>
    </row>
    <row r="403" spans="1:10" x14ac:dyDescent="0.4">
      <c r="A403" s="16" t="s">
        <v>639</v>
      </c>
      <c r="B403" s="15" t="s">
        <v>999</v>
      </c>
      <c r="C403" s="15" t="s">
        <v>225</v>
      </c>
      <c r="D403" s="15" t="s">
        <v>1000</v>
      </c>
      <c r="E403" s="15" t="s">
        <v>443</v>
      </c>
      <c r="F403" s="15">
        <v>-0.80900000000000005</v>
      </c>
      <c r="G403" s="15">
        <v>0.32</v>
      </c>
      <c r="H403" s="15">
        <v>10</v>
      </c>
      <c r="I403" s="15" t="s">
        <v>443</v>
      </c>
      <c r="J403" s="17">
        <f t="shared" si="6"/>
        <v>1</v>
      </c>
    </row>
    <row r="404" spans="1:10" x14ac:dyDescent="0.4">
      <c r="A404" s="16" t="s">
        <v>639</v>
      </c>
      <c r="B404" s="15" t="s">
        <v>1001</v>
      </c>
      <c r="C404" s="15" t="s">
        <v>197</v>
      </c>
      <c r="D404" s="15" t="s">
        <v>1002</v>
      </c>
      <c r="E404" s="15" t="s">
        <v>443</v>
      </c>
      <c r="F404" s="15">
        <v>-0.5971428571428572</v>
      </c>
      <c r="G404" s="15">
        <v>0.2</v>
      </c>
      <c r="H404" s="15">
        <v>12</v>
      </c>
      <c r="I404" s="15" t="s">
        <v>443</v>
      </c>
      <c r="J404" s="17">
        <f t="shared" si="6"/>
        <v>1</v>
      </c>
    </row>
    <row r="405" spans="1:10" x14ac:dyDescent="0.4">
      <c r="A405" s="16" t="s">
        <v>639</v>
      </c>
      <c r="B405" s="15" t="s">
        <v>1003</v>
      </c>
      <c r="C405" s="15" t="s">
        <v>671</v>
      </c>
      <c r="D405" s="15" t="s">
        <v>1004</v>
      </c>
      <c r="E405" s="15" t="s">
        <v>442</v>
      </c>
      <c r="F405" s="15">
        <v>-6.8571428571428561E-2</v>
      </c>
      <c r="G405" s="15">
        <v>5.7142857142857141E-2</v>
      </c>
      <c r="H405" s="15">
        <v>14</v>
      </c>
      <c r="I405" s="15" t="s">
        <v>442</v>
      </c>
      <c r="J405" s="17">
        <f t="shared" si="6"/>
        <v>1</v>
      </c>
    </row>
    <row r="406" spans="1:10" x14ac:dyDescent="0.4">
      <c r="A406" s="16" t="s">
        <v>639</v>
      </c>
      <c r="B406" s="15" t="s">
        <v>1005</v>
      </c>
      <c r="C406" s="15" t="s">
        <v>673</v>
      </c>
      <c r="D406" s="15" t="s">
        <v>1006</v>
      </c>
      <c r="E406" s="15" t="s">
        <v>443</v>
      </c>
      <c r="F406" s="15">
        <v>-0.24</v>
      </c>
      <c r="G406" s="15">
        <v>0.2</v>
      </c>
      <c r="H406" s="15">
        <v>12</v>
      </c>
      <c r="I406" s="15" t="s">
        <v>443</v>
      </c>
      <c r="J406" s="17">
        <f t="shared" si="6"/>
        <v>1</v>
      </c>
    </row>
    <row r="407" spans="1:10" x14ac:dyDescent="0.4">
      <c r="A407" s="16" t="s">
        <v>639</v>
      </c>
      <c r="B407" s="15" t="s">
        <v>1007</v>
      </c>
      <c r="C407" s="15" t="s">
        <v>197</v>
      </c>
      <c r="D407" s="15" t="s">
        <v>1008</v>
      </c>
      <c r="E407" s="15" t="s">
        <v>443</v>
      </c>
      <c r="F407" s="15">
        <v>-0.22153846153846149</v>
      </c>
      <c r="G407" s="15">
        <v>0.1846153846153846</v>
      </c>
      <c r="H407" s="15">
        <v>12</v>
      </c>
      <c r="I407" s="15" t="s">
        <v>444</v>
      </c>
      <c r="J407" s="17">
        <f t="shared" si="6"/>
        <v>0</v>
      </c>
    </row>
    <row r="408" spans="1:10" x14ac:dyDescent="0.4">
      <c r="A408" s="16" t="s">
        <v>639</v>
      </c>
      <c r="B408" s="15" t="s">
        <v>1009</v>
      </c>
      <c r="C408" s="15" t="s">
        <v>197</v>
      </c>
      <c r="D408" s="15" t="s">
        <v>1010</v>
      </c>
      <c r="E408" s="15" t="s">
        <v>443</v>
      </c>
      <c r="F408" s="15">
        <v>-0.33071428571428568</v>
      </c>
      <c r="G408" s="15">
        <v>0.1714285714285714</v>
      </c>
      <c r="H408" s="15">
        <v>8</v>
      </c>
      <c r="I408" s="15" t="s">
        <v>443</v>
      </c>
      <c r="J408" s="17">
        <f t="shared" si="6"/>
        <v>1</v>
      </c>
    </row>
    <row r="409" spans="1:10" x14ac:dyDescent="0.4">
      <c r="A409" s="16" t="s">
        <v>639</v>
      </c>
      <c r="B409" s="15" t="s">
        <v>1011</v>
      </c>
      <c r="C409" s="15" t="s">
        <v>644</v>
      </c>
      <c r="D409" s="15" t="s">
        <v>1012</v>
      </c>
      <c r="E409" s="15" t="s">
        <v>442</v>
      </c>
      <c r="F409" s="15">
        <v>0</v>
      </c>
      <c r="G409" s="15">
        <v>0</v>
      </c>
      <c r="H409" s="15">
        <v>15</v>
      </c>
      <c r="I409" s="15" t="s">
        <v>442</v>
      </c>
      <c r="J409" s="17">
        <f t="shared" si="6"/>
        <v>1</v>
      </c>
    </row>
    <row r="410" spans="1:10" x14ac:dyDescent="0.4">
      <c r="A410" s="16" t="s">
        <v>639</v>
      </c>
      <c r="B410" s="15" t="s">
        <v>1013</v>
      </c>
      <c r="C410" s="15" t="s">
        <v>134</v>
      </c>
      <c r="D410" s="15" t="s">
        <v>1014</v>
      </c>
      <c r="E410" s="15" t="s">
        <v>443</v>
      </c>
      <c r="F410" s="15">
        <v>-0.16500000000000001</v>
      </c>
      <c r="G410" s="15">
        <v>0.13750000000000001</v>
      </c>
      <c r="H410" s="15">
        <v>12</v>
      </c>
      <c r="I410" s="15" t="s">
        <v>443</v>
      </c>
      <c r="J410" s="17">
        <f t="shared" si="6"/>
        <v>1</v>
      </c>
    </row>
    <row r="411" spans="1:10" x14ac:dyDescent="0.4">
      <c r="A411" s="16" t="s">
        <v>639</v>
      </c>
      <c r="B411" s="15" t="s">
        <v>1015</v>
      </c>
      <c r="C411" s="15" t="s">
        <v>211</v>
      </c>
      <c r="D411" s="15" t="s">
        <v>1016</v>
      </c>
      <c r="E411" s="15" t="s">
        <v>442</v>
      </c>
      <c r="F411" s="15">
        <v>5.6363636363636352E-2</v>
      </c>
      <c r="G411" s="15">
        <v>6.6666666666666666E-2</v>
      </c>
      <c r="H411" s="15">
        <v>14</v>
      </c>
      <c r="I411" s="15" t="s">
        <v>443</v>
      </c>
      <c r="J411" s="17">
        <f t="shared" si="6"/>
        <v>0</v>
      </c>
    </row>
    <row r="412" spans="1:10" x14ac:dyDescent="0.4">
      <c r="A412" s="16" t="s">
        <v>639</v>
      </c>
      <c r="B412" s="15" t="s">
        <v>1017</v>
      </c>
      <c r="C412" s="15" t="s">
        <v>211</v>
      </c>
      <c r="D412" s="15" t="s">
        <v>1018</v>
      </c>
      <c r="E412" s="15" t="s">
        <v>443</v>
      </c>
      <c r="F412" s="15">
        <v>-0.192</v>
      </c>
      <c r="G412" s="15">
        <v>0.16</v>
      </c>
      <c r="H412" s="15">
        <v>12</v>
      </c>
      <c r="I412" s="15" t="s">
        <v>443</v>
      </c>
      <c r="J412" s="17">
        <f t="shared" si="6"/>
        <v>1</v>
      </c>
    </row>
    <row r="413" spans="1:10" x14ac:dyDescent="0.4">
      <c r="A413" s="16" t="s">
        <v>639</v>
      </c>
      <c r="B413" s="15" t="s">
        <v>1019</v>
      </c>
      <c r="C413" s="15" t="s">
        <v>671</v>
      </c>
      <c r="D413" s="15" t="s">
        <v>1020</v>
      </c>
      <c r="E413" s="15" t="s">
        <v>444</v>
      </c>
      <c r="F413" s="15">
        <v>0.13533333333333339</v>
      </c>
      <c r="G413" s="15">
        <v>0.04</v>
      </c>
      <c r="H413" s="15">
        <v>14</v>
      </c>
      <c r="I413" s="15" t="s">
        <v>442</v>
      </c>
      <c r="J413" s="17">
        <f t="shared" si="6"/>
        <v>0</v>
      </c>
    </row>
    <row r="414" spans="1:10" x14ac:dyDescent="0.4">
      <c r="A414" s="16" t="s">
        <v>639</v>
      </c>
      <c r="B414" s="15" t="s">
        <v>1021</v>
      </c>
      <c r="C414" s="15" t="s">
        <v>211</v>
      </c>
      <c r="D414" s="15" t="s">
        <v>1022</v>
      </c>
      <c r="E414" s="15" t="s">
        <v>442</v>
      </c>
      <c r="F414" s="15">
        <v>-8.4705882352941173E-2</v>
      </c>
      <c r="G414" s="15">
        <v>7.0588235294117646E-2</v>
      </c>
      <c r="H414" s="15">
        <v>13</v>
      </c>
      <c r="I414" s="15" t="s">
        <v>443</v>
      </c>
      <c r="J414" s="17">
        <f t="shared" si="6"/>
        <v>0</v>
      </c>
    </row>
    <row r="415" spans="1:10" x14ac:dyDescent="0.4">
      <c r="A415" s="16" t="s">
        <v>639</v>
      </c>
      <c r="B415" s="15" t="s">
        <v>1023</v>
      </c>
      <c r="C415" s="15" t="s">
        <v>211</v>
      </c>
      <c r="D415" s="15" t="s">
        <v>1024</v>
      </c>
      <c r="E415" s="15" t="s">
        <v>444</v>
      </c>
      <c r="F415" s="15">
        <v>0.34189655172413791</v>
      </c>
      <c r="G415" s="15">
        <v>2.758620689655172E-2</v>
      </c>
      <c r="H415" s="15">
        <v>14</v>
      </c>
      <c r="I415" s="15" t="s">
        <v>444</v>
      </c>
      <c r="J415" s="17">
        <f t="shared" si="6"/>
        <v>1</v>
      </c>
    </row>
    <row r="416" spans="1:10" x14ac:dyDescent="0.4">
      <c r="A416" s="16" t="s">
        <v>639</v>
      </c>
      <c r="B416" s="15" t="s">
        <v>1025</v>
      </c>
      <c r="C416" s="15" t="s">
        <v>188</v>
      </c>
      <c r="D416" s="15" t="s">
        <v>1026</v>
      </c>
      <c r="E416" s="15" t="s">
        <v>443</v>
      </c>
      <c r="F416" s="15">
        <v>-0.43</v>
      </c>
      <c r="G416" s="15">
        <v>0.15</v>
      </c>
      <c r="H416" s="15">
        <v>12</v>
      </c>
      <c r="I416" s="15" t="s">
        <v>443</v>
      </c>
      <c r="J416" s="17">
        <f t="shared" si="6"/>
        <v>1</v>
      </c>
    </row>
    <row r="417" spans="1:10" x14ac:dyDescent="0.4">
      <c r="A417" s="16" t="s">
        <v>639</v>
      </c>
      <c r="B417" s="15" t="s">
        <v>1027</v>
      </c>
      <c r="C417" s="15" t="s">
        <v>747</v>
      </c>
      <c r="D417" s="15" t="s">
        <v>1028</v>
      </c>
      <c r="E417" s="15" t="s">
        <v>443</v>
      </c>
      <c r="F417" s="15">
        <v>-0.2545</v>
      </c>
      <c r="G417" s="15">
        <v>0.16</v>
      </c>
      <c r="H417" s="15">
        <v>12</v>
      </c>
      <c r="I417" s="15" t="s">
        <v>443</v>
      </c>
      <c r="J417" s="17">
        <f t="shared" si="6"/>
        <v>1</v>
      </c>
    </row>
    <row r="418" spans="1:10" x14ac:dyDescent="0.4">
      <c r="A418" s="16" t="s">
        <v>639</v>
      </c>
      <c r="B418" s="15" t="s">
        <v>1029</v>
      </c>
      <c r="C418" s="15" t="s">
        <v>220</v>
      </c>
      <c r="D418" s="15" t="s">
        <v>1030</v>
      </c>
      <c r="E418" s="15" t="s">
        <v>443</v>
      </c>
      <c r="F418" s="15">
        <v>-0.54</v>
      </c>
      <c r="G418" s="15">
        <v>0.45</v>
      </c>
      <c r="H418" s="15">
        <v>8</v>
      </c>
      <c r="I418" s="15" t="s">
        <v>443</v>
      </c>
      <c r="J418" s="17">
        <f t="shared" si="6"/>
        <v>1</v>
      </c>
    </row>
    <row r="419" spans="1:10" x14ac:dyDescent="0.4">
      <c r="A419" s="16" t="s">
        <v>639</v>
      </c>
      <c r="B419" s="15" t="s">
        <v>1031</v>
      </c>
      <c r="C419" s="15" t="s">
        <v>197</v>
      </c>
      <c r="D419" s="15" t="s">
        <v>1032</v>
      </c>
      <c r="E419" s="15" t="s">
        <v>443</v>
      </c>
      <c r="F419" s="15">
        <v>-0.34121212121212119</v>
      </c>
      <c r="G419" s="15">
        <v>0.14545454545454539</v>
      </c>
      <c r="H419" s="15">
        <v>12</v>
      </c>
      <c r="I419" s="15" t="s">
        <v>442</v>
      </c>
      <c r="J419" s="17">
        <f t="shared" si="6"/>
        <v>0</v>
      </c>
    </row>
    <row r="420" spans="1:10" x14ac:dyDescent="0.4">
      <c r="A420" s="16" t="s">
        <v>639</v>
      </c>
      <c r="B420" s="15" t="s">
        <v>1033</v>
      </c>
      <c r="C420" s="15" t="s">
        <v>220</v>
      </c>
      <c r="D420" s="15" t="s">
        <v>1034</v>
      </c>
      <c r="E420" s="15" t="s">
        <v>443</v>
      </c>
      <c r="F420" s="15">
        <v>-0.30349999999999999</v>
      </c>
      <c r="G420" s="15">
        <v>0.18</v>
      </c>
      <c r="H420" s="15">
        <v>12</v>
      </c>
      <c r="I420" s="15" t="s">
        <v>443</v>
      </c>
      <c r="J420" s="17">
        <f t="shared" si="6"/>
        <v>1</v>
      </c>
    </row>
    <row r="421" spans="1:10" x14ac:dyDescent="0.4">
      <c r="A421" s="16" t="s">
        <v>639</v>
      </c>
      <c r="B421" s="15" t="s">
        <v>1035</v>
      </c>
      <c r="C421" s="15" t="s">
        <v>197</v>
      </c>
      <c r="D421" s="15" t="s">
        <v>1036</v>
      </c>
      <c r="E421" s="15" t="s">
        <v>443</v>
      </c>
      <c r="F421" s="15">
        <v>-0.13714285714285709</v>
      </c>
      <c r="G421" s="15">
        <v>0.1142857142857143</v>
      </c>
      <c r="H421" s="15">
        <v>13</v>
      </c>
      <c r="I421" s="15" t="s">
        <v>443</v>
      </c>
      <c r="J421" s="17">
        <f t="shared" si="6"/>
        <v>1</v>
      </c>
    </row>
    <row r="422" spans="1:10" x14ac:dyDescent="0.4">
      <c r="A422" s="16" t="s">
        <v>639</v>
      </c>
      <c r="B422" s="15" t="s">
        <v>1037</v>
      </c>
      <c r="C422" s="15" t="s">
        <v>197</v>
      </c>
      <c r="D422" s="15" t="s">
        <v>1038</v>
      </c>
      <c r="E422" s="15" t="s">
        <v>444</v>
      </c>
      <c r="F422" s="15">
        <v>0.2257936507936508</v>
      </c>
      <c r="G422" s="15">
        <v>5.7142857142857141E-2</v>
      </c>
      <c r="H422" s="15">
        <v>14</v>
      </c>
      <c r="I422" s="15" t="s">
        <v>444</v>
      </c>
      <c r="J422" s="17">
        <f t="shared" si="6"/>
        <v>1</v>
      </c>
    </row>
    <row r="423" spans="1:10" x14ac:dyDescent="0.4">
      <c r="A423" s="16" t="s">
        <v>639</v>
      </c>
      <c r="B423" s="15" t="s">
        <v>1039</v>
      </c>
      <c r="C423" s="15" t="s">
        <v>746</v>
      </c>
      <c r="D423" s="15" t="s">
        <v>1040</v>
      </c>
      <c r="E423" s="15" t="s">
        <v>442</v>
      </c>
      <c r="F423" s="15">
        <v>-4.1739130434782612E-2</v>
      </c>
      <c r="G423" s="15">
        <v>3.4782608695652167E-2</v>
      </c>
      <c r="H423" s="15">
        <v>14</v>
      </c>
      <c r="I423" s="15" t="s">
        <v>443</v>
      </c>
      <c r="J423" s="17">
        <f t="shared" si="6"/>
        <v>0</v>
      </c>
    </row>
    <row r="424" spans="1:10" x14ac:dyDescent="0.4">
      <c r="A424" s="16" t="s">
        <v>639</v>
      </c>
      <c r="B424" s="15" t="s">
        <v>1041</v>
      </c>
      <c r="C424" s="15" t="s">
        <v>197</v>
      </c>
      <c r="D424" s="15" t="s">
        <v>1042</v>
      </c>
      <c r="E424" s="15" t="s">
        <v>443</v>
      </c>
      <c r="F424" s="15">
        <v>-0.48</v>
      </c>
      <c r="G424" s="15">
        <v>0.4</v>
      </c>
      <c r="H424" s="15">
        <v>9</v>
      </c>
      <c r="I424" s="15" t="s">
        <v>443</v>
      </c>
      <c r="J424" s="17">
        <f t="shared" si="6"/>
        <v>1</v>
      </c>
    </row>
    <row r="425" spans="1:10" x14ac:dyDescent="0.4">
      <c r="A425" s="16" t="s">
        <v>639</v>
      </c>
      <c r="B425" s="15" t="s">
        <v>1043</v>
      </c>
      <c r="C425" s="15" t="s">
        <v>1044</v>
      </c>
      <c r="D425" s="15" t="s">
        <v>1045</v>
      </c>
      <c r="E425" s="15" t="s">
        <v>443</v>
      </c>
      <c r="F425" s="15">
        <v>-0.34428571428571431</v>
      </c>
      <c r="G425" s="15">
        <v>0.32857142857142863</v>
      </c>
      <c r="H425" s="15">
        <v>10</v>
      </c>
      <c r="I425" s="15" t="s">
        <v>443</v>
      </c>
      <c r="J425" s="17">
        <f t="shared" si="6"/>
        <v>1</v>
      </c>
    </row>
    <row r="426" spans="1:10" x14ac:dyDescent="0.4">
      <c r="A426" s="16" t="s">
        <v>639</v>
      </c>
      <c r="B426" s="15" t="s">
        <v>1046</v>
      </c>
      <c r="C426" s="15" t="s">
        <v>211</v>
      </c>
      <c r="D426" s="15" t="s">
        <v>1047</v>
      </c>
      <c r="E426" s="15" t="s">
        <v>444</v>
      </c>
      <c r="F426" s="15">
        <v>0.33040816326530609</v>
      </c>
      <c r="G426" s="15">
        <v>1.6326530612244899E-2</v>
      </c>
      <c r="H426" s="15">
        <v>14</v>
      </c>
      <c r="I426" s="15" t="s">
        <v>442</v>
      </c>
      <c r="J426" s="17">
        <f t="shared" si="6"/>
        <v>0</v>
      </c>
    </row>
    <row r="427" spans="1:10" x14ac:dyDescent="0.4">
      <c r="A427" s="16" t="s">
        <v>639</v>
      </c>
      <c r="B427" s="15" t="s">
        <v>1048</v>
      </c>
      <c r="C427" s="15" t="s">
        <v>197</v>
      </c>
      <c r="D427" s="15" t="s">
        <v>1049</v>
      </c>
      <c r="E427" s="15" t="s">
        <v>443</v>
      </c>
      <c r="F427" s="15">
        <v>-0.21333333333333329</v>
      </c>
      <c r="G427" s="15">
        <v>0.17777777777777781</v>
      </c>
      <c r="H427" s="15">
        <v>12</v>
      </c>
      <c r="I427" s="15" t="s">
        <v>443</v>
      </c>
      <c r="J427" s="17">
        <f t="shared" si="6"/>
        <v>1</v>
      </c>
    </row>
    <row r="428" spans="1:10" x14ac:dyDescent="0.4">
      <c r="A428" s="16" t="s">
        <v>639</v>
      </c>
      <c r="B428" s="15" t="s">
        <v>1050</v>
      </c>
      <c r="C428" s="15" t="s">
        <v>188</v>
      </c>
      <c r="D428" s="15" t="s">
        <v>1051</v>
      </c>
      <c r="E428" s="15" t="s">
        <v>442</v>
      </c>
      <c r="F428" s="15">
        <v>8.3981018981018979E-2</v>
      </c>
      <c r="G428" s="15">
        <v>0.1846153846153846</v>
      </c>
      <c r="H428" s="15">
        <v>12</v>
      </c>
      <c r="I428" s="15" t="s">
        <v>442</v>
      </c>
      <c r="J428" s="17">
        <f t="shared" si="6"/>
        <v>1</v>
      </c>
    </row>
    <row r="429" spans="1:10" x14ac:dyDescent="0.4">
      <c r="A429" s="16" t="s">
        <v>639</v>
      </c>
      <c r="B429" s="15" t="s">
        <v>1052</v>
      </c>
      <c r="C429" s="15" t="s">
        <v>188</v>
      </c>
      <c r="D429" s="15" t="s">
        <v>1053</v>
      </c>
      <c r="E429" s="15" t="s">
        <v>443</v>
      </c>
      <c r="F429" s="15">
        <v>-0.66190476190476188</v>
      </c>
      <c r="G429" s="15">
        <v>0.1111111111111111</v>
      </c>
      <c r="H429" s="15">
        <v>13</v>
      </c>
      <c r="I429" s="15" t="s">
        <v>443</v>
      </c>
      <c r="J429" s="17">
        <f t="shared" si="6"/>
        <v>1</v>
      </c>
    </row>
    <row r="430" spans="1:10" x14ac:dyDescent="0.4">
      <c r="A430" s="16" t="s">
        <v>639</v>
      </c>
      <c r="B430" s="15" t="s">
        <v>1054</v>
      </c>
      <c r="C430" s="15" t="s">
        <v>707</v>
      </c>
      <c r="D430" s="15" t="s">
        <v>1055</v>
      </c>
      <c r="E430" s="15" t="s">
        <v>444</v>
      </c>
      <c r="F430" s="15">
        <v>0.1076923076923077</v>
      </c>
      <c r="G430" s="15">
        <v>7.6923076923076927E-2</v>
      </c>
      <c r="H430" s="15">
        <v>13</v>
      </c>
      <c r="I430" s="15" t="s">
        <v>444</v>
      </c>
      <c r="J430" s="17">
        <f t="shared" si="6"/>
        <v>1</v>
      </c>
    </row>
    <row r="431" spans="1:10" x14ac:dyDescent="0.4">
      <c r="A431" s="16" t="s">
        <v>639</v>
      </c>
      <c r="B431" s="15" t="s">
        <v>1056</v>
      </c>
      <c r="C431" s="15" t="s">
        <v>671</v>
      </c>
      <c r="D431" s="15" t="s">
        <v>1057</v>
      </c>
      <c r="E431" s="15" t="s">
        <v>443</v>
      </c>
      <c r="F431" s="15">
        <v>-0.62</v>
      </c>
      <c r="G431" s="15">
        <v>0.1</v>
      </c>
      <c r="H431" s="15">
        <v>13</v>
      </c>
      <c r="I431" s="15" t="s">
        <v>443</v>
      </c>
      <c r="J431" s="17">
        <f t="shared" si="6"/>
        <v>1</v>
      </c>
    </row>
    <row r="432" spans="1:10" x14ac:dyDescent="0.4">
      <c r="A432" s="16" t="s">
        <v>639</v>
      </c>
      <c r="B432" s="15" t="s">
        <v>1058</v>
      </c>
      <c r="C432" s="15" t="s">
        <v>211</v>
      </c>
      <c r="D432" s="15" t="s">
        <v>1059</v>
      </c>
      <c r="E432" s="15" t="s">
        <v>443</v>
      </c>
      <c r="F432" s="15">
        <v>-0.1690909090909091</v>
      </c>
      <c r="G432" s="15">
        <v>2.4242424242424239E-2</v>
      </c>
      <c r="H432" s="15">
        <v>14</v>
      </c>
      <c r="I432" s="15" t="s">
        <v>443</v>
      </c>
      <c r="J432" s="17">
        <f t="shared" si="6"/>
        <v>1</v>
      </c>
    </row>
    <row r="433" spans="1:10" x14ac:dyDescent="0.4">
      <c r="A433" s="16" t="s">
        <v>639</v>
      </c>
      <c r="B433" s="15" t="s">
        <v>1060</v>
      </c>
      <c r="C433" s="15" t="s">
        <v>197</v>
      </c>
      <c r="D433" s="15" t="s">
        <v>988</v>
      </c>
      <c r="E433" s="15" t="s">
        <v>443</v>
      </c>
      <c r="F433" s="15">
        <v>-0.64</v>
      </c>
      <c r="G433" s="15">
        <v>0.53333333333333333</v>
      </c>
      <c r="H433" s="15">
        <v>7</v>
      </c>
      <c r="I433" s="15" t="s">
        <v>443</v>
      </c>
      <c r="J433" s="17">
        <f t="shared" si="6"/>
        <v>1</v>
      </c>
    </row>
    <row r="434" spans="1:10" x14ac:dyDescent="0.4">
      <c r="A434" s="16" t="s">
        <v>639</v>
      </c>
      <c r="B434" s="15" t="s">
        <v>1061</v>
      </c>
      <c r="C434" s="15" t="s">
        <v>197</v>
      </c>
      <c r="D434" s="15" t="s">
        <v>1062</v>
      </c>
      <c r="E434" s="15" t="s">
        <v>443</v>
      </c>
      <c r="F434" s="15">
        <v>-0.81699999999999995</v>
      </c>
      <c r="G434" s="15">
        <v>0.16</v>
      </c>
      <c r="H434" s="15">
        <v>12</v>
      </c>
      <c r="I434" s="15" t="s">
        <v>443</v>
      </c>
      <c r="J434" s="17">
        <f t="shared" si="6"/>
        <v>1</v>
      </c>
    </row>
    <row r="435" spans="1:10" x14ac:dyDescent="0.4">
      <c r="A435" s="16" t="s">
        <v>639</v>
      </c>
      <c r="B435" s="15" t="s">
        <v>1063</v>
      </c>
      <c r="C435" s="15" t="s">
        <v>197</v>
      </c>
      <c r="D435" s="15" t="s">
        <v>1064</v>
      </c>
      <c r="E435" s="15" t="s">
        <v>443</v>
      </c>
      <c r="F435" s="15">
        <v>-0.192</v>
      </c>
      <c r="G435" s="15">
        <v>0.16</v>
      </c>
      <c r="H435" s="15">
        <v>12</v>
      </c>
      <c r="I435" s="15" t="s">
        <v>443</v>
      </c>
      <c r="J435" s="17">
        <f t="shared" si="6"/>
        <v>1</v>
      </c>
    </row>
    <row r="436" spans="1:10" x14ac:dyDescent="0.4">
      <c r="A436" s="16" t="s">
        <v>639</v>
      </c>
      <c r="B436" s="15" t="s">
        <v>1065</v>
      </c>
      <c r="C436" s="15" t="s">
        <v>197</v>
      </c>
      <c r="D436" s="15" t="s">
        <v>1066</v>
      </c>
      <c r="E436" s="15" t="s">
        <v>443</v>
      </c>
      <c r="F436" s="15">
        <v>-0.13714285714285709</v>
      </c>
      <c r="G436" s="15">
        <v>0.1142857142857143</v>
      </c>
      <c r="H436" s="15">
        <v>13</v>
      </c>
      <c r="I436" s="15" t="s">
        <v>443</v>
      </c>
      <c r="J436" s="17">
        <f t="shared" si="6"/>
        <v>1</v>
      </c>
    </row>
    <row r="437" spans="1:10" x14ac:dyDescent="0.4">
      <c r="A437" s="16" t="s">
        <v>639</v>
      </c>
      <c r="B437" s="15" t="s">
        <v>1067</v>
      </c>
      <c r="C437" s="15" t="s">
        <v>188</v>
      </c>
      <c r="D437" s="15" t="s">
        <v>1068</v>
      </c>
      <c r="E437" s="15" t="s">
        <v>443</v>
      </c>
      <c r="F437" s="15">
        <v>-0.72</v>
      </c>
      <c r="G437" s="15">
        <v>0.6</v>
      </c>
      <c r="H437" s="15">
        <v>6</v>
      </c>
      <c r="I437" s="15" t="s">
        <v>443</v>
      </c>
      <c r="J437" s="17">
        <f t="shared" si="6"/>
        <v>1</v>
      </c>
    </row>
    <row r="438" spans="1:10" x14ac:dyDescent="0.4">
      <c r="A438" s="16" t="s">
        <v>639</v>
      </c>
      <c r="B438" s="15" t="s">
        <v>752</v>
      </c>
      <c r="C438" s="15" t="s">
        <v>707</v>
      </c>
      <c r="D438" s="15" t="s">
        <v>753</v>
      </c>
      <c r="E438" s="15" t="s">
        <v>443</v>
      </c>
      <c r="F438" s="15">
        <v>-0.51818181818181819</v>
      </c>
      <c r="G438" s="15">
        <v>0.1818181818181818</v>
      </c>
      <c r="H438" s="15">
        <v>12</v>
      </c>
      <c r="I438" s="15" t="s">
        <v>443</v>
      </c>
      <c r="J438" s="17">
        <f t="shared" si="6"/>
        <v>1</v>
      </c>
    </row>
    <row r="439" spans="1:10" x14ac:dyDescent="0.4">
      <c r="A439" s="16" t="s">
        <v>639</v>
      </c>
      <c r="B439" s="15" t="s">
        <v>754</v>
      </c>
      <c r="C439" s="15" t="s">
        <v>197</v>
      </c>
      <c r="D439" s="15" t="s">
        <v>755</v>
      </c>
      <c r="E439" s="15" t="s">
        <v>443</v>
      </c>
      <c r="F439" s="15">
        <v>-0.46</v>
      </c>
      <c r="G439" s="15">
        <v>0.1333333333333333</v>
      </c>
      <c r="H439" s="15">
        <v>13</v>
      </c>
      <c r="I439" s="15" t="s">
        <v>443</v>
      </c>
      <c r="J439" s="17">
        <f t="shared" si="6"/>
        <v>1</v>
      </c>
    </row>
    <row r="440" spans="1:10" x14ac:dyDescent="0.4">
      <c r="A440" s="16" t="s">
        <v>639</v>
      </c>
      <c r="B440" s="15" t="s">
        <v>756</v>
      </c>
      <c r="C440" s="15" t="s">
        <v>197</v>
      </c>
      <c r="D440" s="15" t="s">
        <v>757</v>
      </c>
      <c r="E440" s="15" t="s">
        <v>443</v>
      </c>
      <c r="F440" s="15">
        <v>-0.31769230769230772</v>
      </c>
      <c r="G440" s="15">
        <v>0.1230769230769231</v>
      </c>
      <c r="H440" s="15">
        <v>10</v>
      </c>
      <c r="I440" s="15" t="s">
        <v>443</v>
      </c>
      <c r="J440" s="17">
        <f t="shared" si="6"/>
        <v>1</v>
      </c>
    </row>
    <row r="441" spans="1:10" x14ac:dyDescent="0.4">
      <c r="A441" s="16" t="s">
        <v>639</v>
      </c>
      <c r="B441" s="15" t="s">
        <v>758</v>
      </c>
      <c r="C441" s="15" t="s">
        <v>197</v>
      </c>
      <c r="D441" s="15" t="s">
        <v>759</v>
      </c>
      <c r="E441" s="15" t="s">
        <v>442</v>
      </c>
      <c r="F441" s="15">
        <v>9.3333333333333338E-2</v>
      </c>
      <c r="G441" s="15">
        <v>8.8888888888888892E-2</v>
      </c>
      <c r="H441" s="15">
        <v>13</v>
      </c>
      <c r="I441" s="15" t="s">
        <v>444</v>
      </c>
      <c r="J441" s="17">
        <f t="shared" si="6"/>
        <v>0</v>
      </c>
    </row>
    <row r="442" spans="1:10" x14ac:dyDescent="0.4">
      <c r="A442" s="16" t="s">
        <v>639</v>
      </c>
      <c r="B442" s="15" t="s">
        <v>760</v>
      </c>
      <c r="C442" s="15" t="s">
        <v>188</v>
      </c>
      <c r="D442" s="15" t="s">
        <v>761</v>
      </c>
      <c r="E442" s="15" t="s">
        <v>443</v>
      </c>
      <c r="F442" s="15">
        <v>-0.30869318181818178</v>
      </c>
      <c r="G442" s="15">
        <v>0.2181818181818182</v>
      </c>
      <c r="H442" s="15">
        <v>11</v>
      </c>
      <c r="I442" s="15" t="s">
        <v>443</v>
      </c>
      <c r="J442" s="17">
        <f t="shared" si="6"/>
        <v>1</v>
      </c>
    </row>
    <row r="443" spans="1:10" x14ac:dyDescent="0.4">
      <c r="A443" s="16" t="s">
        <v>639</v>
      </c>
      <c r="B443" s="15" t="s">
        <v>762</v>
      </c>
      <c r="C443" s="15" t="s">
        <v>197</v>
      </c>
      <c r="D443" s="15" t="s">
        <v>763</v>
      </c>
      <c r="E443" s="15" t="s">
        <v>442</v>
      </c>
      <c r="F443" s="15">
        <v>-1.9090909090909089E-2</v>
      </c>
      <c r="G443" s="15">
        <v>7.2727272727272724E-2</v>
      </c>
      <c r="H443" s="15">
        <v>9</v>
      </c>
      <c r="I443" s="15" t="s">
        <v>444</v>
      </c>
      <c r="J443" s="17">
        <f t="shared" si="6"/>
        <v>0</v>
      </c>
    </row>
    <row r="444" spans="1:10" x14ac:dyDescent="0.4">
      <c r="A444" s="16" t="s">
        <v>639</v>
      </c>
      <c r="B444" s="15" t="s">
        <v>764</v>
      </c>
      <c r="C444" s="15" t="s">
        <v>211</v>
      </c>
      <c r="D444" s="15" t="s">
        <v>765</v>
      </c>
      <c r="E444" s="15" t="s">
        <v>443</v>
      </c>
      <c r="F444" s="15">
        <v>-0.1372727272727273</v>
      </c>
      <c r="G444" s="15">
        <v>7.2727272727272724E-2</v>
      </c>
      <c r="H444" s="15">
        <v>13</v>
      </c>
      <c r="I444" s="15" t="s">
        <v>443</v>
      </c>
      <c r="J444" s="17">
        <f t="shared" si="6"/>
        <v>1</v>
      </c>
    </row>
    <row r="445" spans="1:10" x14ac:dyDescent="0.4">
      <c r="A445" s="16" t="s">
        <v>639</v>
      </c>
      <c r="B445" s="15" t="s">
        <v>766</v>
      </c>
      <c r="C445" s="15" t="s">
        <v>197</v>
      </c>
      <c r="D445" s="15" t="s">
        <v>767</v>
      </c>
      <c r="E445" s="15" t="s">
        <v>444</v>
      </c>
      <c r="F445" s="15">
        <v>0.1878181818181818</v>
      </c>
      <c r="G445" s="15">
        <v>5.3333333333333337E-2</v>
      </c>
      <c r="H445" s="15">
        <v>14</v>
      </c>
      <c r="I445" s="15" t="s">
        <v>443</v>
      </c>
      <c r="J445" s="17">
        <f t="shared" si="6"/>
        <v>0</v>
      </c>
    </row>
    <row r="446" spans="1:10" x14ac:dyDescent="0.4">
      <c r="A446" s="16" t="s">
        <v>639</v>
      </c>
      <c r="B446" s="15" t="s">
        <v>768</v>
      </c>
      <c r="C446" s="15" t="s">
        <v>197</v>
      </c>
      <c r="D446" s="15" t="s">
        <v>769</v>
      </c>
      <c r="E446" s="15" t="s">
        <v>443</v>
      </c>
      <c r="F446" s="15">
        <v>-0.24346666666666669</v>
      </c>
      <c r="G446" s="15">
        <v>6.4000000000000001E-2</v>
      </c>
      <c r="H446" s="15">
        <v>14</v>
      </c>
      <c r="I446" s="15" t="s">
        <v>443</v>
      </c>
      <c r="J446" s="17">
        <f t="shared" si="6"/>
        <v>1</v>
      </c>
    </row>
    <row r="447" spans="1:10" x14ac:dyDescent="0.4">
      <c r="A447" s="16" t="s">
        <v>639</v>
      </c>
      <c r="B447" s="15" t="s">
        <v>770</v>
      </c>
      <c r="C447" s="15" t="s">
        <v>197</v>
      </c>
      <c r="D447" s="15" t="s">
        <v>771</v>
      </c>
      <c r="E447" s="15" t="s">
        <v>444</v>
      </c>
      <c r="F447" s="15">
        <v>0.1079653679653679</v>
      </c>
      <c r="G447" s="15">
        <v>7.2727272727272724E-2</v>
      </c>
      <c r="H447" s="15">
        <v>13</v>
      </c>
      <c r="I447" s="15" t="s">
        <v>443</v>
      </c>
      <c r="J447" s="17">
        <f t="shared" si="6"/>
        <v>0</v>
      </c>
    </row>
    <row r="448" spans="1:10" x14ac:dyDescent="0.4">
      <c r="A448" s="16" t="s">
        <v>639</v>
      </c>
      <c r="B448" s="15" t="s">
        <v>772</v>
      </c>
      <c r="C448" s="15" t="s">
        <v>750</v>
      </c>
      <c r="D448" s="15" t="s">
        <v>773</v>
      </c>
      <c r="E448" s="15" t="s">
        <v>443</v>
      </c>
      <c r="F448" s="15">
        <v>-0.17333333333333331</v>
      </c>
      <c r="G448" s="15">
        <v>0.1444444444444444</v>
      </c>
      <c r="H448" s="15">
        <v>12</v>
      </c>
      <c r="I448" s="15" t="s">
        <v>443</v>
      </c>
      <c r="J448" s="17">
        <f t="shared" si="6"/>
        <v>1</v>
      </c>
    </row>
    <row r="449" spans="1:10" x14ac:dyDescent="0.4">
      <c r="A449" s="16" t="s">
        <v>639</v>
      </c>
      <c r="B449" s="15" t="s">
        <v>774</v>
      </c>
      <c r="C449" s="15" t="s">
        <v>197</v>
      </c>
      <c r="D449" s="15" t="s">
        <v>775</v>
      </c>
      <c r="E449" s="15" t="s">
        <v>444</v>
      </c>
      <c r="F449" s="15">
        <v>0.32379310344827589</v>
      </c>
      <c r="G449" s="15">
        <v>5.5172413793103448E-2</v>
      </c>
      <c r="H449" s="15">
        <v>11</v>
      </c>
      <c r="I449" s="15" t="s">
        <v>443</v>
      </c>
      <c r="J449" s="17">
        <f t="shared" si="6"/>
        <v>0</v>
      </c>
    </row>
    <row r="450" spans="1:10" x14ac:dyDescent="0.4">
      <c r="A450" s="16" t="s">
        <v>639</v>
      </c>
      <c r="B450" s="15" t="s">
        <v>776</v>
      </c>
      <c r="C450" s="15" t="s">
        <v>707</v>
      </c>
      <c r="D450" s="15" t="s">
        <v>777</v>
      </c>
      <c r="E450" s="15" t="s">
        <v>443</v>
      </c>
      <c r="F450" s="15">
        <v>-0.28171428571428581</v>
      </c>
      <c r="G450" s="15">
        <v>0.08</v>
      </c>
      <c r="H450" s="15">
        <v>13</v>
      </c>
      <c r="I450" s="15" t="s">
        <v>443</v>
      </c>
      <c r="J450" s="17">
        <f t="shared" si="6"/>
        <v>1</v>
      </c>
    </row>
    <row r="451" spans="1:10" x14ac:dyDescent="0.4">
      <c r="A451" s="16" t="s">
        <v>639</v>
      </c>
      <c r="B451" s="15" t="s">
        <v>778</v>
      </c>
      <c r="C451" s="15" t="s">
        <v>212</v>
      </c>
      <c r="D451" s="15" t="s">
        <v>779</v>
      </c>
      <c r="E451" s="15" t="s">
        <v>443</v>
      </c>
      <c r="F451" s="15">
        <v>-0.1657142857142857</v>
      </c>
      <c r="G451" s="15">
        <v>0.18333333333333329</v>
      </c>
      <c r="H451" s="15">
        <v>12</v>
      </c>
      <c r="I451" s="15" t="s">
        <v>443</v>
      </c>
      <c r="J451" s="17">
        <f t="shared" si="6"/>
        <v>1</v>
      </c>
    </row>
    <row r="452" spans="1:10" x14ac:dyDescent="0.4">
      <c r="A452" s="16" t="s">
        <v>639</v>
      </c>
      <c r="B452" s="15" t="s">
        <v>780</v>
      </c>
      <c r="C452" s="15" t="s">
        <v>663</v>
      </c>
      <c r="D452" s="15" t="s">
        <v>781</v>
      </c>
      <c r="E452" s="15" t="s">
        <v>443</v>
      </c>
      <c r="F452" s="15">
        <v>-0.12857142857142859</v>
      </c>
      <c r="G452" s="15">
        <v>0</v>
      </c>
      <c r="H452" s="15">
        <v>15</v>
      </c>
      <c r="I452" s="15" t="s">
        <v>443</v>
      </c>
      <c r="J452" s="17">
        <f t="shared" si="6"/>
        <v>1</v>
      </c>
    </row>
    <row r="453" spans="1:10" x14ac:dyDescent="0.4">
      <c r="A453" s="16" t="s">
        <v>639</v>
      </c>
      <c r="B453" s="15" t="s">
        <v>782</v>
      </c>
      <c r="C453" s="15" t="s">
        <v>647</v>
      </c>
      <c r="D453" s="15" t="s">
        <v>783</v>
      </c>
      <c r="E453" s="15" t="s">
        <v>443</v>
      </c>
      <c r="F453" s="15">
        <v>-0.1714285714285714</v>
      </c>
      <c r="G453" s="15">
        <v>0.14285714285714279</v>
      </c>
      <c r="H453" s="15">
        <v>12</v>
      </c>
      <c r="I453" s="15" t="s">
        <v>443</v>
      </c>
      <c r="J453" s="17">
        <f t="shared" si="6"/>
        <v>1</v>
      </c>
    </row>
    <row r="454" spans="1:10" x14ac:dyDescent="0.4">
      <c r="A454" s="16" t="s">
        <v>639</v>
      </c>
      <c r="B454" s="15" t="s">
        <v>784</v>
      </c>
      <c r="C454" s="15" t="s">
        <v>212</v>
      </c>
      <c r="D454" s="15" t="s">
        <v>785</v>
      </c>
      <c r="E454" s="15" t="s">
        <v>442</v>
      </c>
      <c r="F454" s="15">
        <v>-6.687499999999999E-2</v>
      </c>
      <c r="G454" s="15">
        <v>0.1</v>
      </c>
      <c r="H454" s="15">
        <v>13</v>
      </c>
      <c r="I454" s="15" t="s">
        <v>443</v>
      </c>
      <c r="J454" s="17">
        <f t="shared" si="6"/>
        <v>0</v>
      </c>
    </row>
    <row r="455" spans="1:10" x14ac:dyDescent="0.4">
      <c r="A455" s="16" t="s">
        <v>639</v>
      </c>
      <c r="B455" s="15" t="s">
        <v>786</v>
      </c>
      <c r="C455" s="15" t="s">
        <v>197</v>
      </c>
      <c r="D455" s="15" t="s">
        <v>787</v>
      </c>
      <c r="E455" s="15" t="s">
        <v>443</v>
      </c>
      <c r="F455" s="15">
        <v>-0.25318181818181817</v>
      </c>
      <c r="G455" s="15">
        <v>7.2727272727272724E-2</v>
      </c>
      <c r="H455" s="15">
        <v>13</v>
      </c>
      <c r="I455" s="15" t="s">
        <v>444</v>
      </c>
      <c r="J455" s="17">
        <f t="shared" ref="J455:J506" si="7">IF(I455=E455,1,0)</f>
        <v>0</v>
      </c>
    </row>
    <row r="456" spans="1:10" x14ac:dyDescent="0.4">
      <c r="A456" s="16" t="s">
        <v>639</v>
      </c>
      <c r="B456" s="15" t="s">
        <v>788</v>
      </c>
      <c r="C456" s="15" t="s">
        <v>217</v>
      </c>
      <c r="D456" s="15" t="s">
        <v>789</v>
      </c>
      <c r="E456" s="15" t="s">
        <v>443</v>
      </c>
      <c r="F456" s="15">
        <v>-0.316</v>
      </c>
      <c r="G456" s="15">
        <v>0.18</v>
      </c>
      <c r="H456" s="15">
        <v>12</v>
      </c>
      <c r="I456" s="15" t="s">
        <v>443</v>
      </c>
      <c r="J456" s="17">
        <f t="shared" si="7"/>
        <v>1</v>
      </c>
    </row>
    <row r="457" spans="1:10" x14ac:dyDescent="0.4">
      <c r="A457" s="16" t="s">
        <v>639</v>
      </c>
      <c r="B457" s="15" t="s">
        <v>790</v>
      </c>
      <c r="C457" s="15" t="s">
        <v>197</v>
      </c>
      <c r="D457" s="15" t="s">
        <v>791</v>
      </c>
      <c r="E457" s="15" t="s">
        <v>443</v>
      </c>
      <c r="F457" s="15">
        <v>-0.50787878787878782</v>
      </c>
      <c r="G457" s="15">
        <v>0.14545454545454539</v>
      </c>
      <c r="H457" s="15">
        <v>12</v>
      </c>
      <c r="I457" s="15" t="s">
        <v>443</v>
      </c>
      <c r="J457" s="17">
        <f t="shared" si="7"/>
        <v>1</v>
      </c>
    </row>
    <row r="458" spans="1:10" x14ac:dyDescent="0.4">
      <c r="A458" s="16" t="s">
        <v>639</v>
      </c>
      <c r="B458" s="15" t="s">
        <v>792</v>
      </c>
      <c r="C458" s="15" t="s">
        <v>749</v>
      </c>
      <c r="D458" s="15" t="s">
        <v>793</v>
      </c>
      <c r="E458" s="15" t="s">
        <v>442</v>
      </c>
      <c r="F458" s="15">
        <v>-5.7084415584415578E-2</v>
      </c>
      <c r="G458" s="15">
        <v>5.6363636363636373E-2</v>
      </c>
      <c r="H458" s="15">
        <v>14</v>
      </c>
      <c r="I458" s="15" t="s">
        <v>444</v>
      </c>
      <c r="J458" s="17">
        <f t="shared" si="7"/>
        <v>0</v>
      </c>
    </row>
    <row r="459" spans="1:10" x14ac:dyDescent="0.4">
      <c r="A459" s="16" t="s">
        <v>639</v>
      </c>
      <c r="B459" s="15" t="s">
        <v>794</v>
      </c>
      <c r="C459" s="15" t="s">
        <v>134</v>
      </c>
      <c r="D459" s="15" t="s">
        <v>795</v>
      </c>
      <c r="E459" s="15" t="s">
        <v>442</v>
      </c>
      <c r="F459" s="15">
        <v>-0.08</v>
      </c>
      <c r="G459" s="15">
        <v>6.6666666666666666E-2</v>
      </c>
      <c r="H459" s="15">
        <v>14</v>
      </c>
      <c r="I459" s="15" t="s">
        <v>442</v>
      </c>
      <c r="J459" s="17">
        <f t="shared" si="7"/>
        <v>1</v>
      </c>
    </row>
    <row r="460" spans="1:10" x14ac:dyDescent="0.4">
      <c r="A460" s="16" t="s">
        <v>639</v>
      </c>
      <c r="B460" s="15" t="s">
        <v>796</v>
      </c>
      <c r="C460" s="15" t="s">
        <v>197</v>
      </c>
      <c r="D460" s="15" t="s">
        <v>797</v>
      </c>
      <c r="E460" s="15" t="s">
        <v>443</v>
      </c>
      <c r="F460" s="15">
        <v>-0.13714285714285709</v>
      </c>
      <c r="G460" s="15">
        <v>0.1142857142857143</v>
      </c>
      <c r="H460" s="15">
        <v>13</v>
      </c>
      <c r="I460" s="15" t="s">
        <v>443</v>
      </c>
      <c r="J460" s="17">
        <f t="shared" si="7"/>
        <v>1</v>
      </c>
    </row>
    <row r="461" spans="1:10" x14ac:dyDescent="0.4">
      <c r="A461" s="16" t="s">
        <v>639</v>
      </c>
      <c r="B461" s="15" t="s">
        <v>798</v>
      </c>
      <c r="C461" s="15" t="s">
        <v>197</v>
      </c>
      <c r="D461" s="15" t="s">
        <v>799</v>
      </c>
      <c r="E461" s="15" t="s">
        <v>442</v>
      </c>
      <c r="F461" s="15">
        <v>-8.257575757575758E-2</v>
      </c>
      <c r="G461" s="15">
        <v>9.7222222222222224E-2</v>
      </c>
      <c r="H461" s="15">
        <v>13</v>
      </c>
      <c r="I461" s="15" t="s">
        <v>442</v>
      </c>
      <c r="J461" s="17">
        <f t="shared" si="7"/>
        <v>1</v>
      </c>
    </row>
    <row r="462" spans="1:10" x14ac:dyDescent="0.4">
      <c r="A462" s="16" t="s">
        <v>639</v>
      </c>
      <c r="B462" s="15" t="s">
        <v>800</v>
      </c>
      <c r="C462" s="15" t="s">
        <v>197</v>
      </c>
      <c r="D462" s="15" t="s">
        <v>801</v>
      </c>
      <c r="E462" s="15" t="s">
        <v>443</v>
      </c>
      <c r="F462" s="15">
        <v>-0.17454545454545459</v>
      </c>
      <c r="G462" s="15">
        <v>4.4444444444444453E-2</v>
      </c>
      <c r="H462" s="15">
        <v>10</v>
      </c>
      <c r="I462" s="15" t="s">
        <v>443</v>
      </c>
      <c r="J462" s="17">
        <f t="shared" si="7"/>
        <v>1</v>
      </c>
    </row>
    <row r="463" spans="1:10" x14ac:dyDescent="0.4">
      <c r="A463" s="16" t="s">
        <v>639</v>
      </c>
      <c r="B463" s="15" t="s">
        <v>802</v>
      </c>
      <c r="C463" s="15" t="s">
        <v>197</v>
      </c>
      <c r="D463" s="15" t="s">
        <v>803</v>
      </c>
      <c r="E463" s="15" t="s">
        <v>443</v>
      </c>
      <c r="F463" s="15">
        <v>-0.142719298245614</v>
      </c>
      <c r="G463" s="15">
        <v>8.4210526315789472E-2</v>
      </c>
      <c r="H463" s="15">
        <v>13</v>
      </c>
      <c r="I463" s="15" t="s">
        <v>443</v>
      </c>
      <c r="J463" s="17">
        <f t="shared" si="7"/>
        <v>1</v>
      </c>
    </row>
    <row r="464" spans="1:10" x14ac:dyDescent="0.4">
      <c r="A464" s="16" t="s">
        <v>639</v>
      </c>
      <c r="B464" s="15" t="s">
        <v>804</v>
      </c>
      <c r="C464" s="15" t="s">
        <v>656</v>
      </c>
      <c r="D464" s="15" t="s">
        <v>805</v>
      </c>
      <c r="E464" s="15" t="s">
        <v>442</v>
      </c>
      <c r="F464" s="15">
        <v>-5.131578947368419E-2</v>
      </c>
      <c r="G464" s="15">
        <v>0.10526315789473679</v>
      </c>
      <c r="H464" s="15">
        <v>13</v>
      </c>
      <c r="I464" s="15" t="s">
        <v>442</v>
      </c>
      <c r="J464" s="17">
        <f t="shared" si="7"/>
        <v>1</v>
      </c>
    </row>
    <row r="465" spans="1:10" x14ac:dyDescent="0.4">
      <c r="A465" s="16" t="s">
        <v>639</v>
      </c>
      <c r="B465" s="15" t="s">
        <v>806</v>
      </c>
      <c r="C465" s="15" t="s">
        <v>197</v>
      </c>
      <c r="D465" s="15" t="s">
        <v>807</v>
      </c>
      <c r="E465" s="15" t="s">
        <v>443</v>
      </c>
      <c r="F465" s="15">
        <v>-0.53587878787878784</v>
      </c>
      <c r="G465" s="15">
        <v>0.14545454545454539</v>
      </c>
      <c r="H465" s="15">
        <v>9</v>
      </c>
      <c r="I465" s="15" t="s">
        <v>443</v>
      </c>
      <c r="J465" s="17">
        <f t="shared" si="7"/>
        <v>1</v>
      </c>
    </row>
    <row r="466" spans="1:10" x14ac:dyDescent="0.4">
      <c r="A466" s="16" t="s">
        <v>639</v>
      </c>
      <c r="B466" s="15" t="s">
        <v>808</v>
      </c>
      <c r="C466" s="15" t="s">
        <v>217</v>
      </c>
      <c r="D466" s="15" t="s">
        <v>433</v>
      </c>
      <c r="E466" s="15" t="s">
        <v>443</v>
      </c>
      <c r="F466" s="15">
        <v>-0.72</v>
      </c>
      <c r="G466" s="15">
        <v>0.6</v>
      </c>
      <c r="H466" s="15">
        <v>6</v>
      </c>
      <c r="I466" s="15" t="s">
        <v>443</v>
      </c>
      <c r="J466" s="17">
        <f t="shared" si="7"/>
        <v>1</v>
      </c>
    </row>
    <row r="467" spans="1:10" x14ac:dyDescent="0.4">
      <c r="A467" s="16" t="s">
        <v>639</v>
      </c>
      <c r="B467" s="15" t="s">
        <v>809</v>
      </c>
      <c r="C467" s="15" t="s">
        <v>197</v>
      </c>
      <c r="D467" s="15" t="s">
        <v>810</v>
      </c>
      <c r="E467" s="15" t="s">
        <v>444</v>
      </c>
      <c r="F467" s="15">
        <v>0.2762735849056604</v>
      </c>
      <c r="G467" s="15">
        <v>3.0188679245283019E-2</v>
      </c>
      <c r="H467" s="15">
        <v>14</v>
      </c>
      <c r="I467" s="15" t="s">
        <v>444</v>
      </c>
      <c r="J467" s="17">
        <f t="shared" si="7"/>
        <v>1</v>
      </c>
    </row>
    <row r="468" spans="1:10" x14ac:dyDescent="0.4">
      <c r="A468" s="16" t="s">
        <v>639</v>
      </c>
      <c r="B468" s="15" t="s">
        <v>811</v>
      </c>
      <c r="C468" s="15" t="s">
        <v>211</v>
      </c>
      <c r="D468" s="15" t="s">
        <v>812</v>
      </c>
      <c r="E468" s="15" t="s">
        <v>443</v>
      </c>
      <c r="F468" s="15">
        <v>-0.16</v>
      </c>
      <c r="G468" s="15">
        <v>0.1333333333333333</v>
      </c>
      <c r="H468" s="15">
        <v>13</v>
      </c>
      <c r="I468" s="15" t="s">
        <v>443</v>
      </c>
      <c r="J468" s="17">
        <f t="shared" si="7"/>
        <v>1</v>
      </c>
    </row>
    <row r="469" spans="1:10" x14ac:dyDescent="0.4">
      <c r="A469" s="16" t="s">
        <v>639</v>
      </c>
      <c r="B469" s="15" t="s">
        <v>813</v>
      </c>
      <c r="C469" s="15" t="s">
        <v>707</v>
      </c>
      <c r="D469" s="15" t="s">
        <v>814</v>
      </c>
      <c r="E469" s="15" t="s">
        <v>443</v>
      </c>
      <c r="F469" s="15">
        <v>-0.25131578947368421</v>
      </c>
      <c r="G469" s="15">
        <v>0.10526315789473679</v>
      </c>
      <c r="H469" s="15">
        <v>13</v>
      </c>
      <c r="I469" s="15" t="s">
        <v>443</v>
      </c>
      <c r="J469" s="17">
        <f t="shared" si="7"/>
        <v>1</v>
      </c>
    </row>
    <row r="470" spans="1:10" x14ac:dyDescent="0.4">
      <c r="A470" s="16" t="s">
        <v>639</v>
      </c>
      <c r="B470" s="15" t="s">
        <v>815</v>
      </c>
      <c r="C470" s="15" t="s">
        <v>211</v>
      </c>
      <c r="D470" s="15" t="s">
        <v>816</v>
      </c>
      <c r="E470" s="15" t="s">
        <v>444</v>
      </c>
      <c r="F470" s="15">
        <v>0.13542424242424239</v>
      </c>
      <c r="G470" s="15">
        <v>2.6666666666666668E-2</v>
      </c>
      <c r="H470" s="15">
        <v>14</v>
      </c>
      <c r="I470" s="15" t="s">
        <v>444</v>
      </c>
      <c r="J470" s="17">
        <f t="shared" si="7"/>
        <v>1</v>
      </c>
    </row>
    <row r="471" spans="1:10" x14ac:dyDescent="0.4">
      <c r="A471" s="16" t="s">
        <v>639</v>
      </c>
      <c r="B471" s="15" t="s">
        <v>817</v>
      </c>
      <c r="C471" s="15" t="s">
        <v>188</v>
      </c>
      <c r="D471" s="15" t="s">
        <v>818</v>
      </c>
      <c r="E471" s="15" t="s">
        <v>443</v>
      </c>
      <c r="F471" s="15">
        <v>-0.57599999999999996</v>
      </c>
      <c r="G471" s="15">
        <v>0.48</v>
      </c>
      <c r="H471" s="15">
        <v>7</v>
      </c>
      <c r="I471" s="15" t="s">
        <v>443</v>
      </c>
      <c r="J471" s="17">
        <f t="shared" si="7"/>
        <v>1</v>
      </c>
    </row>
    <row r="472" spans="1:10" x14ac:dyDescent="0.4">
      <c r="A472" s="16" t="s">
        <v>639</v>
      </c>
      <c r="B472" s="15" t="s">
        <v>819</v>
      </c>
      <c r="C472" s="15" t="s">
        <v>657</v>
      </c>
      <c r="D472" s="15" t="s">
        <v>820</v>
      </c>
      <c r="E472" s="15" t="s">
        <v>444</v>
      </c>
      <c r="F472" s="15">
        <v>0.16663043478260869</v>
      </c>
      <c r="G472" s="15">
        <v>1.7391304347826091E-2</v>
      </c>
      <c r="H472" s="15">
        <v>14</v>
      </c>
      <c r="I472" s="15" t="s">
        <v>444</v>
      </c>
      <c r="J472" s="17">
        <f t="shared" si="7"/>
        <v>1</v>
      </c>
    </row>
    <row r="473" spans="1:10" x14ac:dyDescent="0.4">
      <c r="A473" s="16" t="s">
        <v>639</v>
      </c>
      <c r="B473" s="15" t="s">
        <v>821</v>
      </c>
      <c r="C473" s="15" t="s">
        <v>233</v>
      </c>
      <c r="D473" s="15" t="s">
        <v>822</v>
      </c>
      <c r="E473" s="15" t="s">
        <v>444</v>
      </c>
      <c r="F473" s="15">
        <v>0.2008620689655172</v>
      </c>
      <c r="G473" s="15">
        <v>3.448275862068965E-3</v>
      </c>
      <c r="H473" s="15">
        <v>14</v>
      </c>
      <c r="I473" s="15" t="s">
        <v>444</v>
      </c>
      <c r="J473" s="17">
        <f t="shared" si="7"/>
        <v>1</v>
      </c>
    </row>
    <row r="474" spans="1:10" x14ac:dyDescent="0.4">
      <c r="A474" s="16" t="s">
        <v>639</v>
      </c>
      <c r="B474" s="15" t="s">
        <v>823</v>
      </c>
      <c r="C474" s="15" t="s">
        <v>197</v>
      </c>
      <c r="D474" s="15" t="s">
        <v>824</v>
      </c>
      <c r="E474" s="15" t="s">
        <v>443</v>
      </c>
      <c r="F474" s="15">
        <v>-0.30105263157894729</v>
      </c>
      <c r="G474" s="15">
        <v>8.4210526315789472E-2</v>
      </c>
      <c r="H474" s="15">
        <v>13</v>
      </c>
      <c r="I474" s="15" t="s">
        <v>443</v>
      </c>
      <c r="J474" s="17">
        <f t="shared" si="7"/>
        <v>1</v>
      </c>
    </row>
    <row r="475" spans="1:10" x14ac:dyDescent="0.4">
      <c r="A475" s="16" t="s">
        <v>639</v>
      </c>
      <c r="B475" s="15" t="s">
        <v>825</v>
      </c>
      <c r="C475" s="15" t="s">
        <v>197</v>
      </c>
      <c r="D475" s="15" t="s">
        <v>826</v>
      </c>
      <c r="E475" s="15" t="s">
        <v>443</v>
      </c>
      <c r="F475" s="15">
        <v>-0.39600000000000002</v>
      </c>
      <c r="G475" s="15">
        <v>0.08</v>
      </c>
      <c r="H475" s="15">
        <v>13</v>
      </c>
      <c r="I475" s="15" t="s">
        <v>443</v>
      </c>
      <c r="J475" s="17">
        <f t="shared" si="7"/>
        <v>1</v>
      </c>
    </row>
    <row r="476" spans="1:10" x14ac:dyDescent="0.4">
      <c r="A476" s="16" t="s">
        <v>639</v>
      </c>
      <c r="B476" s="15" t="s">
        <v>827</v>
      </c>
      <c r="C476" s="15" t="s">
        <v>197</v>
      </c>
      <c r="D476" s="15" t="s">
        <v>828</v>
      </c>
      <c r="E476" s="15" t="s">
        <v>442</v>
      </c>
      <c r="F476" s="15">
        <v>7.9523809523809552E-2</v>
      </c>
      <c r="G476" s="15">
        <v>0.1142857142857143</v>
      </c>
      <c r="H476" s="15">
        <v>13</v>
      </c>
      <c r="I476" s="15" t="s">
        <v>444</v>
      </c>
      <c r="J476" s="17">
        <f t="shared" si="7"/>
        <v>0</v>
      </c>
    </row>
    <row r="477" spans="1:10" x14ac:dyDescent="0.4">
      <c r="A477" s="16" t="s">
        <v>639</v>
      </c>
      <c r="B477" s="15" t="s">
        <v>829</v>
      </c>
      <c r="C477" s="15" t="s">
        <v>647</v>
      </c>
      <c r="D477" s="15" t="s">
        <v>830</v>
      </c>
      <c r="E477" s="15" t="s">
        <v>443</v>
      </c>
      <c r="F477" s="15">
        <v>-0.1533653846153846</v>
      </c>
      <c r="G477" s="15">
        <v>0.15384615384615391</v>
      </c>
      <c r="H477" s="15">
        <v>12</v>
      </c>
      <c r="I477" s="15" t="s">
        <v>443</v>
      </c>
      <c r="J477" s="17">
        <f t="shared" si="7"/>
        <v>1</v>
      </c>
    </row>
    <row r="478" spans="1:10" x14ac:dyDescent="0.4">
      <c r="A478" s="16" t="s">
        <v>639</v>
      </c>
      <c r="B478" s="15" t="s">
        <v>831</v>
      </c>
      <c r="C478" s="15" t="s">
        <v>719</v>
      </c>
      <c r="D478" s="15" t="s">
        <v>832</v>
      </c>
      <c r="E478" s="15" t="s">
        <v>444</v>
      </c>
      <c r="F478" s="15">
        <v>0.40400000000000003</v>
      </c>
      <c r="G478" s="15">
        <v>0.08</v>
      </c>
      <c r="H478" s="15">
        <v>13</v>
      </c>
      <c r="I478" s="15" t="s">
        <v>444</v>
      </c>
      <c r="J478" s="17">
        <f t="shared" si="7"/>
        <v>1</v>
      </c>
    </row>
    <row r="479" spans="1:10" x14ac:dyDescent="0.4">
      <c r="A479" s="16" t="s">
        <v>639</v>
      </c>
      <c r="B479" s="15" t="s">
        <v>833</v>
      </c>
      <c r="C479" s="15" t="s">
        <v>719</v>
      </c>
      <c r="D479" s="15" t="s">
        <v>834</v>
      </c>
      <c r="E479" s="15" t="s">
        <v>444</v>
      </c>
      <c r="F479" s="15">
        <v>0.41272727272727272</v>
      </c>
      <c r="G479" s="15">
        <v>7.2727272727272724E-2</v>
      </c>
      <c r="H479" s="15">
        <v>13</v>
      </c>
      <c r="I479" s="15" t="s">
        <v>444</v>
      </c>
      <c r="J479" s="17">
        <f t="shared" si="7"/>
        <v>1</v>
      </c>
    </row>
    <row r="480" spans="1:10" x14ac:dyDescent="0.4">
      <c r="A480" s="16" t="s">
        <v>639</v>
      </c>
      <c r="B480" s="15" t="s">
        <v>835</v>
      </c>
      <c r="C480" s="15" t="s">
        <v>197</v>
      </c>
      <c r="D480" s="15" t="s">
        <v>836</v>
      </c>
      <c r="E480" s="15" t="s">
        <v>443</v>
      </c>
      <c r="F480" s="15">
        <v>-0.38121212121212122</v>
      </c>
      <c r="G480" s="15">
        <v>0.1333333333333333</v>
      </c>
      <c r="H480" s="15">
        <v>13</v>
      </c>
      <c r="I480" s="15" t="s">
        <v>443</v>
      </c>
      <c r="J480" s="17">
        <f t="shared" si="7"/>
        <v>1</v>
      </c>
    </row>
    <row r="481" spans="1:10" x14ac:dyDescent="0.4">
      <c r="A481" s="16" t="s">
        <v>639</v>
      </c>
      <c r="B481" s="15" t="s">
        <v>837</v>
      </c>
      <c r="C481" s="15" t="s">
        <v>676</v>
      </c>
      <c r="D481" s="15" t="s">
        <v>838</v>
      </c>
      <c r="E481" s="15" t="s">
        <v>443</v>
      </c>
      <c r="F481" s="15">
        <v>-0.29035714285714281</v>
      </c>
      <c r="G481" s="15">
        <v>8.5714285714285715E-2</v>
      </c>
      <c r="H481" s="15">
        <v>13</v>
      </c>
      <c r="I481" s="15" t="s">
        <v>443</v>
      </c>
      <c r="J481" s="17">
        <f t="shared" si="7"/>
        <v>1</v>
      </c>
    </row>
    <row r="482" spans="1:10" x14ac:dyDescent="0.4">
      <c r="A482" s="16" t="s">
        <v>639</v>
      </c>
      <c r="B482" s="15" t="s">
        <v>839</v>
      </c>
      <c r="C482" s="15" t="s">
        <v>134</v>
      </c>
      <c r="D482" s="15" t="s">
        <v>840</v>
      </c>
      <c r="E482" s="15" t="s">
        <v>444</v>
      </c>
      <c r="F482" s="15">
        <v>0.23784313725490189</v>
      </c>
      <c r="G482" s="15">
        <v>1.5686274509803921E-2</v>
      </c>
      <c r="H482" s="15">
        <v>14</v>
      </c>
      <c r="I482" s="15" t="s">
        <v>444</v>
      </c>
      <c r="J482" s="17">
        <f t="shared" si="7"/>
        <v>1</v>
      </c>
    </row>
    <row r="483" spans="1:10" x14ac:dyDescent="0.4">
      <c r="A483" s="16" t="s">
        <v>639</v>
      </c>
      <c r="B483" s="15" t="s">
        <v>841</v>
      </c>
      <c r="C483" s="15" t="s">
        <v>197</v>
      </c>
      <c r="D483" s="15" t="s">
        <v>842</v>
      </c>
      <c r="E483" s="15" t="s">
        <v>442</v>
      </c>
      <c r="F483" s="15">
        <v>1.8974358974358951E-2</v>
      </c>
      <c r="G483" s="15">
        <v>0.1230769230769231</v>
      </c>
      <c r="H483" s="15">
        <v>13</v>
      </c>
      <c r="I483" s="15" t="s">
        <v>444</v>
      </c>
      <c r="J483" s="17">
        <f t="shared" si="7"/>
        <v>0</v>
      </c>
    </row>
    <row r="484" spans="1:10" x14ac:dyDescent="0.4">
      <c r="A484" s="16" t="s">
        <v>639</v>
      </c>
      <c r="B484" s="15" t="s">
        <v>843</v>
      </c>
      <c r="C484" s="15" t="s">
        <v>218</v>
      </c>
      <c r="D484" s="15" t="s">
        <v>844</v>
      </c>
      <c r="E484" s="15" t="s">
        <v>443</v>
      </c>
      <c r="F484" s="15">
        <v>-0.19636363636363641</v>
      </c>
      <c r="G484" s="15">
        <v>0.16363636363636361</v>
      </c>
      <c r="H484" s="15">
        <v>12</v>
      </c>
      <c r="I484" s="15" t="s">
        <v>443</v>
      </c>
      <c r="J484" s="17">
        <f t="shared" si="7"/>
        <v>1</v>
      </c>
    </row>
    <row r="485" spans="1:10" x14ac:dyDescent="0.4">
      <c r="A485" s="16" t="s">
        <v>639</v>
      </c>
      <c r="B485" s="15" t="s">
        <v>845</v>
      </c>
      <c r="C485" s="15" t="s">
        <v>220</v>
      </c>
      <c r="D485" s="15" t="s">
        <v>846</v>
      </c>
      <c r="E485" s="15" t="s">
        <v>443</v>
      </c>
      <c r="F485" s="15">
        <v>-0.18</v>
      </c>
      <c r="G485" s="15">
        <v>0.15</v>
      </c>
      <c r="H485" s="15">
        <v>12</v>
      </c>
      <c r="I485" s="15" t="s">
        <v>443</v>
      </c>
      <c r="J485" s="17">
        <f t="shared" si="7"/>
        <v>1</v>
      </c>
    </row>
    <row r="486" spans="1:10" x14ac:dyDescent="0.4">
      <c r="A486" s="16" t="s">
        <v>639</v>
      </c>
      <c r="B486" s="15" t="s">
        <v>847</v>
      </c>
      <c r="C486" s="15" t="s">
        <v>744</v>
      </c>
      <c r="D486" s="15" t="s">
        <v>848</v>
      </c>
      <c r="E486" s="15" t="s">
        <v>443</v>
      </c>
      <c r="F486" s="15">
        <v>-0.20761904761904759</v>
      </c>
      <c r="G486" s="15">
        <v>0.22857142857142859</v>
      </c>
      <c r="H486" s="15">
        <v>11</v>
      </c>
      <c r="I486" s="15" t="s">
        <v>443</v>
      </c>
      <c r="J486" s="17">
        <f t="shared" si="7"/>
        <v>1</v>
      </c>
    </row>
    <row r="487" spans="1:10" x14ac:dyDescent="0.4">
      <c r="A487" s="16" t="s">
        <v>639</v>
      </c>
      <c r="B487" s="15" t="s">
        <v>849</v>
      </c>
      <c r="C487" s="15" t="s">
        <v>197</v>
      </c>
      <c r="D487" s="15" t="s">
        <v>850</v>
      </c>
      <c r="E487" s="15" t="s">
        <v>443</v>
      </c>
      <c r="F487" s="15">
        <v>-0.1133333333333333</v>
      </c>
      <c r="G487" s="15">
        <v>0.17777777777777781</v>
      </c>
      <c r="H487" s="15">
        <v>12</v>
      </c>
      <c r="I487" s="15" t="s">
        <v>444</v>
      </c>
      <c r="J487" s="17">
        <f t="shared" si="7"/>
        <v>0</v>
      </c>
    </row>
    <row r="488" spans="1:10" x14ac:dyDescent="0.4">
      <c r="A488" s="16" t="s">
        <v>639</v>
      </c>
      <c r="B488" s="15" t="s">
        <v>851</v>
      </c>
      <c r="C488" s="15" t="s">
        <v>197</v>
      </c>
      <c r="D488" s="15" t="s">
        <v>852</v>
      </c>
      <c r="E488" s="15" t="s">
        <v>444</v>
      </c>
      <c r="F488" s="15">
        <v>0.35230769230769232</v>
      </c>
      <c r="G488" s="15">
        <v>0.1230769230769231</v>
      </c>
      <c r="H488" s="15">
        <v>13</v>
      </c>
      <c r="I488" s="15" t="s">
        <v>444</v>
      </c>
      <c r="J488" s="17">
        <f t="shared" si="7"/>
        <v>1</v>
      </c>
    </row>
    <row r="489" spans="1:10" x14ac:dyDescent="0.4">
      <c r="A489" s="16" t="s">
        <v>639</v>
      </c>
      <c r="B489" s="15" t="s">
        <v>853</v>
      </c>
      <c r="C489" s="15" t="s">
        <v>197</v>
      </c>
      <c r="D489" s="15" t="s">
        <v>854</v>
      </c>
      <c r="E489" s="15" t="s">
        <v>444</v>
      </c>
      <c r="F489" s="15">
        <v>0.214</v>
      </c>
      <c r="G489" s="15">
        <v>0.1066666666666667</v>
      </c>
      <c r="H489" s="15">
        <v>13</v>
      </c>
      <c r="I489" s="15" t="s">
        <v>443</v>
      </c>
      <c r="J489" s="17">
        <f t="shared" si="7"/>
        <v>0</v>
      </c>
    </row>
    <row r="490" spans="1:10" x14ac:dyDescent="0.4">
      <c r="A490" s="16" t="s">
        <v>639</v>
      </c>
      <c r="B490" s="15" t="s">
        <v>855</v>
      </c>
      <c r="C490" s="15" t="s">
        <v>211</v>
      </c>
      <c r="D490" s="15" t="s">
        <v>856</v>
      </c>
      <c r="E490" s="15" t="s">
        <v>442</v>
      </c>
      <c r="F490" s="15">
        <v>-6.4000000000000001E-2</v>
      </c>
      <c r="G490" s="15">
        <v>5.3333333333333337E-2</v>
      </c>
      <c r="H490" s="15">
        <v>14</v>
      </c>
      <c r="I490" s="15" t="s">
        <v>442</v>
      </c>
      <c r="J490" s="17">
        <f t="shared" si="7"/>
        <v>1</v>
      </c>
    </row>
    <row r="491" spans="1:10" x14ac:dyDescent="0.4">
      <c r="A491" s="16" t="s">
        <v>639</v>
      </c>
      <c r="B491" s="15" t="s">
        <v>857</v>
      </c>
      <c r="C491" s="15" t="s">
        <v>197</v>
      </c>
      <c r="D491" s="15" t="s">
        <v>858</v>
      </c>
      <c r="E491" s="15" t="s">
        <v>443</v>
      </c>
      <c r="F491" s="15">
        <v>-0.128</v>
      </c>
      <c r="G491" s="15">
        <v>0.1066666666666667</v>
      </c>
      <c r="H491" s="15">
        <v>13</v>
      </c>
      <c r="I491" s="15" t="s">
        <v>443</v>
      </c>
      <c r="J491" s="17">
        <f t="shared" si="7"/>
        <v>1</v>
      </c>
    </row>
    <row r="492" spans="1:10" x14ac:dyDescent="0.4">
      <c r="A492" s="16" t="s">
        <v>639</v>
      </c>
      <c r="B492" s="15" t="s">
        <v>859</v>
      </c>
      <c r="C492" s="15" t="s">
        <v>197</v>
      </c>
      <c r="D492" s="15" t="s">
        <v>860</v>
      </c>
      <c r="E492" s="15" t="s">
        <v>444</v>
      </c>
      <c r="F492" s="15">
        <v>0.15571428571428569</v>
      </c>
      <c r="G492" s="15">
        <v>7.857142857142857E-2</v>
      </c>
      <c r="H492" s="15">
        <v>13</v>
      </c>
      <c r="I492" s="15" t="s">
        <v>444</v>
      </c>
      <c r="J492" s="17">
        <f t="shared" si="7"/>
        <v>1</v>
      </c>
    </row>
    <row r="493" spans="1:10" x14ac:dyDescent="0.4">
      <c r="A493" s="16" t="s">
        <v>639</v>
      </c>
      <c r="B493" s="15" t="s">
        <v>861</v>
      </c>
      <c r="C493" s="15" t="s">
        <v>657</v>
      </c>
      <c r="D493" s="15" t="s">
        <v>862</v>
      </c>
      <c r="E493" s="15" t="s">
        <v>442</v>
      </c>
      <c r="F493" s="15">
        <v>2.969696969696968E-2</v>
      </c>
      <c r="G493" s="15">
        <v>8.8888888888888892E-2</v>
      </c>
      <c r="H493" s="15">
        <v>13</v>
      </c>
      <c r="I493" s="15" t="s">
        <v>442</v>
      </c>
      <c r="J493" s="17">
        <f t="shared" si="7"/>
        <v>1</v>
      </c>
    </row>
    <row r="494" spans="1:10" x14ac:dyDescent="0.4">
      <c r="A494" s="16" t="s">
        <v>639</v>
      </c>
      <c r="B494" s="15" t="s">
        <v>863</v>
      </c>
      <c r="C494" s="15" t="s">
        <v>707</v>
      </c>
      <c r="D494" s="15" t="s">
        <v>864</v>
      </c>
      <c r="E494" s="15" t="s">
        <v>442</v>
      </c>
      <c r="F494" s="15">
        <v>-6.6369047619047605E-2</v>
      </c>
      <c r="G494" s="15">
        <v>9.5238095238095233E-2</v>
      </c>
      <c r="H494" s="15">
        <v>13</v>
      </c>
      <c r="I494" s="15" t="s">
        <v>442</v>
      </c>
      <c r="J494" s="17">
        <f t="shared" si="7"/>
        <v>1</v>
      </c>
    </row>
    <row r="495" spans="1:10" x14ac:dyDescent="0.4">
      <c r="A495" s="16" t="s">
        <v>639</v>
      </c>
      <c r="B495" s="15" t="s">
        <v>865</v>
      </c>
      <c r="C495" s="15" t="s">
        <v>134</v>
      </c>
      <c r="D495" s="15" t="s">
        <v>866</v>
      </c>
      <c r="E495" s="15" t="s">
        <v>444</v>
      </c>
      <c r="F495" s="15">
        <v>0.18142857142857141</v>
      </c>
      <c r="G495" s="15">
        <v>5.7142857142857141E-2</v>
      </c>
      <c r="H495" s="15">
        <v>14</v>
      </c>
      <c r="I495" s="15" t="s">
        <v>444</v>
      </c>
      <c r="J495" s="17">
        <f t="shared" si="7"/>
        <v>1</v>
      </c>
    </row>
    <row r="496" spans="1:10" x14ac:dyDescent="0.4">
      <c r="A496" s="16" t="s">
        <v>639</v>
      </c>
      <c r="B496" s="15" t="s">
        <v>867</v>
      </c>
      <c r="C496" s="15" t="s">
        <v>220</v>
      </c>
      <c r="D496" s="15" t="s">
        <v>868</v>
      </c>
      <c r="E496" s="15" t="s">
        <v>443</v>
      </c>
      <c r="F496" s="15">
        <v>-0.73263157894736841</v>
      </c>
      <c r="G496" s="15">
        <v>0.11052631578947369</v>
      </c>
      <c r="H496" s="15">
        <v>13</v>
      </c>
      <c r="I496" s="15" t="s">
        <v>443</v>
      </c>
      <c r="J496" s="17">
        <f t="shared" si="7"/>
        <v>1</v>
      </c>
    </row>
    <row r="497" spans="1:10" x14ac:dyDescent="0.4">
      <c r="A497" s="16" t="s">
        <v>639</v>
      </c>
      <c r="B497" s="15" t="s">
        <v>869</v>
      </c>
      <c r="C497" s="15" t="s">
        <v>197</v>
      </c>
      <c r="D497" s="15" t="s">
        <v>870</v>
      </c>
      <c r="E497" s="15" t="s">
        <v>444</v>
      </c>
      <c r="F497" s="15">
        <v>0.21652173913043479</v>
      </c>
      <c r="G497" s="15">
        <v>6.9565217391304349E-2</v>
      </c>
      <c r="H497" s="15">
        <v>13</v>
      </c>
      <c r="I497" s="15" t="s">
        <v>444</v>
      </c>
      <c r="J497" s="17">
        <f t="shared" si="7"/>
        <v>1</v>
      </c>
    </row>
    <row r="498" spans="1:10" x14ac:dyDescent="0.4">
      <c r="A498" s="16" t="s">
        <v>639</v>
      </c>
      <c r="B498" s="15" t="s">
        <v>871</v>
      </c>
      <c r="C498" s="15" t="s">
        <v>197</v>
      </c>
      <c r="D498" s="15" t="s">
        <v>872</v>
      </c>
      <c r="E498" s="15" t="s">
        <v>442</v>
      </c>
      <c r="F498" s="15">
        <v>-4.0000000000000044E-3</v>
      </c>
      <c r="G498" s="15">
        <v>5.3333333333333337E-2</v>
      </c>
      <c r="H498" s="15">
        <v>14</v>
      </c>
      <c r="I498" s="15" t="s">
        <v>444</v>
      </c>
      <c r="J498" s="17">
        <f t="shared" si="7"/>
        <v>0</v>
      </c>
    </row>
    <row r="499" spans="1:10" x14ac:dyDescent="0.4">
      <c r="A499" s="16" t="s">
        <v>639</v>
      </c>
      <c r="B499" s="15" t="s">
        <v>873</v>
      </c>
      <c r="C499" s="15" t="s">
        <v>197</v>
      </c>
      <c r="D499" s="15" t="s">
        <v>874</v>
      </c>
      <c r="E499" s="15" t="s">
        <v>443</v>
      </c>
      <c r="F499" s="15">
        <v>-0.134396028681743</v>
      </c>
      <c r="G499" s="15">
        <v>8.6486486486486491E-2</v>
      </c>
      <c r="H499" s="15">
        <v>13</v>
      </c>
      <c r="I499" s="15" t="s">
        <v>443</v>
      </c>
      <c r="J499" s="17">
        <f t="shared" si="7"/>
        <v>1</v>
      </c>
    </row>
    <row r="500" spans="1:10" x14ac:dyDescent="0.4">
      <c r="A500" s="16" t="s">
        <v>639</v>
      </c>
      <c r="B500" s="15" t="s">
        <v>875</v>
      </c>
      <c r="C500" s="15" t="s">
        <v>197</v>
      </c>
      <c r="D500" s="15" t="s">
        <v>876</v>
      </c>
      <c r="E500" s="15" t="s">
        <v>443</v>
      </c>
      <c r="F500" s="15">
        <v>-0.21333333333333329</v>
      </c>
      <c r="G500" s="15">
        <v>0.17777777777777781</v>
      </c>
      <c r="H500" s="15">
        <v>12</v>
      </c>
      <c r="I500" s="15" t="s">
        <v>443</v>
      </c>
      <c r="J500" s="17">
        <f t="shared" si="7"/>
        <v>1</v>
      </c>
    </row>
    <row r="501" spans="1:10" x14ac:dyDescent="0.4">
      <c r="A501" s="16" t="s">
        <v>639</v>
      </c>
      <c r="B501" s="15" t="s">
        <v>877</v>
      </c>
      <c r="C501" s="15" t="s">
        <v>197</v>
      </c>
      <c r="D501" s="15" t="s">
        <v>878</v>
      </c>
      <c r="E501" s="15" t="s">
        <v>443</v>
      </c>
      <c r="F501" s="15">
        <v>-0.44666666666666671</v>
      </c>
      <c r="G501" s="15">
        <v>0.17777777777777781</v>
      </c>
      <c r="H501" s="15">
        <v>12</v>
      </c>
      <c r="I501" s="15" t="s">
        <v>444</v>
      </c>
      <c r="J501" s="17">
        <f t="shared" si="7"/>
        <v>0</v>
      </c>
    </row>
    <row r="502" spans="1:10" x14ac:dyDescent="0.4">
      <c r="A502" s="16" t="s">
        <v>639</v>
      </c>
      <c r="B502" s="15" t="s">
        <v>879</v>
      </c>
      <c r="C502" s="15" t="s">
        <v>707</v>
      </c>
      <c r="D502" s="15" t="s">
        <v>880</v>
      </c>
      <c r="E502" s="15" t="s">
        <v>443</v>
      </c>
      <c r="F502" s="15">
        <v>-0.23432432432432429</v>
      </c>
      <c r="G502" s="15">
        <v>7.0270270270270274E-2</v>
      </c>
      <c r="H502" s="15">
        <v>13</v>
      </c>
      <c r="I502" s="15" t="s">
        <v>443</v>
      </c>
      <c r="J502" s="17">
        <f t="shared" si="7"/>
        <v>1</v>
      </c>
    </row>
    <row r="503" spans="1:10" x14ac:dyDescent="0.4">
      <c r="A503" s="16" t="s">
        <v>639</v>
      </c>
      <c r="B503" s="15" t="s">
        <v>881</v>
      </c>
      <c r="C503" s="15" t="s">
        <v>197</v>
      </c>
      <c r="D503" s="15" t="s">
        <v>882</v>
      </c>
      <c r="E503" s="15" t="s">
        <v>443</v>
      </c>
      <c r="F503" s="15">
        <v>-0.1086111111111111</v>
      </c>
      <c r="G503" s="15">
        <v>5.9259259259259262E-2</v>
      </c>
      <c r="H503" s="15">
        <v>14</v>
      </c>
      <c r="I503" s="15" t="s">
        <v>444</v>
      </c>
      <c r="J503" s="17">
        <f t="shared" si="7"/>
        <v>0</v>
      </c>
    </row>
    <row r="504" spans="1:10" x14ac:dyDescent="0.4">
      <c r="A504" s="16" t="s">
        <v>639</v>
      </c>
      <c r="B504" s="15" t="s">
        <v>883</v>
      </c>
      <c r="C504" s="15" t="s">
        <v>212</v>
      </c>
      <c r="D504" s="15" t="s">
        <v>884</v>
      </c>
      <c r="E504" s="15" t="s">
        <v>443</v>
      </c>
      <c r="F504" s="15">
        <v>-0.89333333333333331</v>
      </c>
      <c r="G504" s="15">
        <v>0.24444444444444441</v>
      </c>
      <c r="H504" s="15">
        <v>11</v>
      </c>
      <c r="I504" s="15" t="s">
        <v>443</v>
      </c>
      <c r="J504" s="17">
        <f t="shared" si="7"/>
        <v>1</v>
      </c>
    </row>
    <row r="505" spans="1:10" x14ac:dyDescent="0.4">
      <c r="A505" s="16" t="s">
        <v>639</v>
      </c>
      <c r="B505" s="15" t="s">
        <v>885</v>
      </c>
      <c r="C505" s="15" t="s">
        <v>647</v>
      </c>
      <c r="D505" s="15" t="s">
        <v>886</v>
      </c>
      <c r="E505" s="15" t="s">
        <v>443</v>
      </c>
      <c r="F505" s="15">
        <v>-0.3</v>
      </c>
      <c r="G505" s="15">
        <v>0.25</v>
      </c>
      <c r="H505" s="15">
        <v>11</v>
      </c>
      <c r="I505" s="15" t="s">
        <v>443</v>
      </c>
      <c r="J505" s="17">
        <f t="shared" si="7"/>
        <v>1</v>
      </c>
    </row>
    <row r="506" spans="1:10" ht="15" thickBot="1" x14ac:dyDescent="0.45">
      <c r="A506" s="18" t="s">
        <v>639</v>
      </c>
      <c r="B506" s="19" t="s">
        <v>887</v>
      </c>
      <c r="C506" s="19" t="s">
        <v>188</v>
      </c>
      <c r="D506" s="19" t="s">
        <v>888</v>
      </c>
      <c r="E506" s="19" t="s">
        <v>443</v>
      </c>
      <c r="F506" s="19">
        <v>-0.1763265306122449</v>
      </c>
      <c r="G506" s="19">
        <v>8.5714285714285715E-2</v>
      </c>
      <c r="H506" s="19">
        <v>13</v>
      </c>
      <c r="I506" s="19" t="s">
        <v>443</v>
      </c>
      <c r="J506" s="20">
        <f t="shared" si="7"/>
        <v>1</v>
      </c>
    </row>
    <row r="507" spans="1:10" x14ac:dyDescent="0.4"/>
  </sheetData>
  <mergeCells count="6">
    <mergeCell ref="L8:L9"/>
    <mergeCell ref="M8:M9"/>
    <mergeCell ref="L11:Q15"/>
    <mergeCell ref="L16:Q20"/>
    <mergeCell ref="A1:B4"/>
    <mergeCell ref="D2:P4"/>
  </mergeCells>
  <conditionalFormatting sqref="M8:M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Singh</dc:creator>
  <cp:lastModifiedBy>Varun Singh</cp:lastModifiedBy>
  <dcterms:created xsi:type="dcterms:W3CDTF">2024-11-18T11:34:32Z</dcterms:created>
  <dcterms:modified xsi:type="dcterms:W3CDTF">2024-12-18T01:07:33Z</dcterms:modified>
</cp:coreProperties>
</file>